
<file path=[Content_Types].xml><?xml version="1.0" encoding="utf-8"?>
<Types xmlns="http://schemas.openxmlformats.org/package/2006/content-types">
  <Default Extension="bin" ContentType="application/vnd.openxmlformats-officedocument.spreadsheetml.printerSettings"/>
  <Default Extension="data" ContentType="application/vnd.openxmlformats-officedocument.model+data"/>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Records3.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imelineCaches/timelineCache1.xml" ContentType="application/vnd.ms-excel.timeline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pivotTables/pivotTable1.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drawings/drawing2.xml" ContentType="application/vnd.openxmlformats-officedocument.drawing+xml"/>
  <Override PartName="/xl/charts/chart2.xml" ContentType="application/vnd.openxmlformats-officedocument.drawingml.chart+xml"/>
  <Override PartName="/xl/drawings/drawing3.xml" ContentType="application/vnd.openxmlformats-officedocument.drawing+xml"/>
  <Override PartName="/xl/charts/chart3.xml" ContentType="application/vnd.openxmlformats-officedocument.drawingml.chart+xml"/>
  <Override PartName="/xl/charts/style2.xml" ContentType="application/vnd.ms-office.chartstyle+xml"/>
  <Override PartName="/xl/charts/colors2.xml" ContentType="application/vnd.ms-office.chartcolorstyle+xml"/>
  <Override PartName="/xl/charts/chart4.xml" ContentType="application/vnd.openxmlformats-officedocument.drawingml.chart+xml"/>
  <Override PartName="/xl/charts/style3.xml" ContentType="application/vnd.ms-office.chartstyle+xml"/>
  <Override PartName="/xl/charts/colors3.xml" ContentType="application/vnd.ms-office.chartcolorstyle+xml"/>
  <Override PartName="/xl/charts/chart5.xml" ContentType="application/vnd.openxmlformats-officedocument.drawingml.chart+xml"/>
  <Override PartName="/xl/charts/style4.xml" ContentType="application/vnd.ms-office.chartstyle+xml"/>
  <Override PartName="/xl/charts/colors4.xml" ContentType="application/vnd.ms-office.chartcolorsty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drawings/drawing4.xml" ContentType="application/vnd.openxmlformats-officedocument.drawing+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tables/table7.xml" ContentType="application/vnd.openxmlformats-officedocument.spreadsheetml.table+xml"/>
  <Override PartName="/xl/slicers/slicer2.xml" ContentType="application/vnd.ms-excel.slicer+xml"/>
  <Override PartName="/xl/timelines/timeline1.xml" ContentType="application/vnd.ms-excel.timeline+xml"/>
  <Override PartName="/xl/charts/chart6.xml" ContentType="application/vnd.openxmlformats-officedocument.drawingml.chart+xml"/>
  <Override PartName="/xl/charts/style5.xml" ContentType="application/vnd.ms-office.chartstyle+xml"/>
  <Override PartName="/xl/charts/colors5.xml" ContentType="application/vnd.ms-office.chartcolorstyle+xml"/>
  <Override PartName="/xl/charts/chart7.xml" ContentType="application/vnd.openxmlformats-officedocument.drawingml.chart+xml"/>
  <Override PartName="/xl/charts/style6.xml" ContentType="application/vnd.ms-office.chartstyle+xml"/>
  <Override PartName="/xl/charts/colors6.xml" ContentType="application/vnd.ms-office.chartcolorstyle+xml"/>
  <Override PartName="/xl/charts/chartEx1.xml" ContentType="application/vnd.ms-office.chartex+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chart9.xml" ContentType="application/vnd.openxmlformats-officedocument.drawingml.chart+xml"/>
  <Override PartName="/xl/charts/style8.xml" ContentType="application/vnd.ms-office.chartstyle+xml"/>
  <Override PartName="/xl/charts/colors8.xml" ContentType="application/vnd.ms-office.chartcolorstyle+xml"/>
  <Override PartName="/xl/charts/chart10.xml" ContentType="application/vnd.openxmlformats-officedocument.drawingml.chart+xml"/>
  <Override PartName="/xl/charts/style9.xml" ContentType="application/vnd.ms-office.chartstyle+xml"/>
  <Override PartName="/xl/charts/colors9.xml" ContentType="application/vnd.ms-office.chartcolorstyle+xml"/>
  <Override PartName="/xl/charts/chart11.xml" ContentType="application/vnd.openxmlformats-officedocument.drawingml.chart+xml"/>
  <Override PartName="/xl/charts/style10.xml" ContentType="application/vnd.ms-office.chartstyle+xml"/>
  <Override PartName="/xl/charts/colors10.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hidePivotFieldList="1" defaultThemeVersion="166925"/>
  <mc:AlternateContent xmlns:mc="http://schemas.openxmlformats.org/markup-compatibility/2006">
    <mc:Choice Requires="x15">
      <x15ac:absPath xmlns:x15ac="http://schemas.microsoft.com/office/spreadsheetml/2010/11/ac" url="C:\Users\MITS\Desktop\"/>
    </mc:Choice>
  </mc:AlternateContent>
  <xr:revisionPtr revIDLastSave="0" documentId="13_ncr:1_{D4DF79B9-DFA8-4BEA-B985-1945F42D869E}" xr6:coauthVersionLast="47" xr6:coauthVersionMax="47" xr10:uidLastSave="{00000000-0000-0000-0000-000000000000}"/>
  <bookViews>
    <workbookView xWindow="-120" yWindow="-120" windowWidth="29040" windowHeight="15720" xr2:uid="{B05EA017-3451-4701-8B8E-3C68B0AC97EE}"/>
  </bookViews>
  <sheets>
    <sheet name="Sheet12" sheetId="12" r:id="rId1"/>
    <sheet name="Sheet6" sheetId="17" r:id="rId2"/>
    <sheet name="Sheet2" sheetId="18" r:id="rId3"/>
    <sheet name="Sheet3" sheetId="19" r:id="rId4"/>
    <sheet name="Sheet4" sheetId="20" r:id="rId5"/>
    <sheet name="Sheet1" sheetId="1" r:id="rId6"/>
  </sheets>
  <definedNames>
    <definedName name="_xlnm._FilterDatabase" localSheetId="5" hidden="1">Sheet1!$P$49:$P$98</definedName>
    <definedName name="_xlchart.v1.0" hidden="1">Sheet1!$J$50:$J$97</definedName>
    <definedName name="_xlchart.v1.1" hidden="1">Sheet1!$K$49</definedName>
    <definedName name="_xlchart.v1.2" hidden="1">Sheet1!$K$50:$K$97</definedName>
    <definedName name="_xlcn.WorksheetConnection_day2.xlsxTable21" hidden="1">Table2[]</definedName>
    <definedName name="_xlcn.WorksheetConnection_Sheet1A49N841" hidden="1">Sheet1!$A$49:$N$84</definedName>
    <definedName name="_xlcn.WorksheetConnection_Sheet1A49R981" hidden="1">Sheet1!$A$49:$R$98</definedName>
    <definedName name="NativeTimeline_TransactionDate">#N/A</definedName>
    <definedName name="Slicer_PaymentMethod">#N/A</definedName>
    <definedName name="Slicer_ProductCategory">#N/A</definedName>
    <definedName name="Slicer_Quantity">#N/A</definedName>
  </definedNames>
  <calcPr calcId="191029"/>
  <pivotCaches>
    <pivotCache cacheId="1" r:id="rId7"/>
    <pivotCache cacheId="2" r:id="rId8"/>
    <pivotCache cacheId="19" r:id="rId9"/>
    <pivotCache cacheId="37" r:id="rId10"/>
  </pivotCaches>
  <extLst>
    <ext xmlns:x14="http://schemas.microsoft.com/office/spreadsheetml/2009/9/main" uri="{BBE1A952-AA13-448e-AADC-164F8A28A991}">
      <x14:slicerCaches>
        <x14:slicerCache r:id="rId11"/>
        <x14:slicerCache r:id="rId12"/>
        <x14:slicerCache r:id="rId13"/>
      </x14:slicerCaches>
    </ext>
    <ext xmlns:x14="http://schemas.microsoft.com/office/spreadsheetml/2009/9/main" uri="{79F54976-1DA5-4618-B147-4CDE4B953A38}">
      <x14:workbookPr/>
    </ext>
    <ext xmlns:x15="http://schemas.microsoft.com/office/spreadsheetml/2010/11/main" uri="{D0CA8CA8-9F24-4464-BF8E-62219DCF47F9}">
      <x15:timelineCacheRefs>
        <x15:timelineCacheRef r:id="rId14"/>
      </x15:timelineCacheRefs>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Range" name="Range" connection="WorksheetConnection_Sheet1!$A$49:$N$84"/>
          <x15:modelTable id="Table2" name="Table2" connection="WorksheetConnection_day-2.xlsx!Table2"/>
          <x15:modelTable id="Range 1" name="Range 1" connection="WorksheetConnection_Sheet1!$A$49:$R$98"/>
        </x15:modelTables>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H40" i="1" l="1"/>
  <c r="G42" i="1"/>
  <c r="AA2" i="1" l="1"/>
  <c r="AA3" i="1"/>
  <c r="AA4" i="1"/>
  <c r="AA5" i="1"/>
  <c r="AA6" i="1"/>
  <c r="AA7" i="1"/>
  <c r="AA8" i="1"/>
  <c r="AA9" i="1"/>
  <c r="AA10" i="1"/>
  <c r="AA11" i="1"/>
  <c r="AA12" i="1"/>
  <c r="AA13" i="1"/>
  <c r="AA14" i="1"/>
  <c r="AA15" i="1"/>
  <c r="AA16" i="1"/>
  <c r="AA17" i="1"/>
  <c r="AA18" i="1"/>
  <c r="AA19" i="1"/>
  <c r="AA20" i="1"/>
  <c r="AA21" i="1"/>
  <c r="Z2" i="1"/>
  <c r="Z3" i="1"/>
  <c r="Z4" i="1"/>
  <c r="Z5" i="1"/>
  <c r="Z6" i="1"/>
  <c r="Z7" i="1"/>
  <c r="Z8" i="1"/>
  <c r="Z9" i="1"/>
  <c r="Z10" i="1"/>
  <c r="Z11" i="1"/>
  <c r="Z12" i="1"/>
  <c r="Z13" i="1"/>
  <c r="Z14" i="1"/>
  <c r="Z15" i="1"/>
  <c r="Z16" i="1"/>
  <c r="Z17" i="1"/>
  <c r="Z18" i="1"/>
  <c r="Z19" i="1"/>
  <c r="Z20" i="1"/>
  <c r="Z21" i="1"/>
  <c r="Y11" i="1"/>
  <c r="Y12" i="1"/>
  <c r="Y15" i="1"/>
  <c r="X2" i="1"/>
  <c r="Y2" i="1" s="1"/>
  <c r="X3" i="1"/>
  <c r="Y3" i="1" s="1"/>
  <c r="X4" i="1"/>
  <c r="Y4" i="1" s="1"/>
  <c r="X5" i="1"/>
  <c r="Y5" i="1" s="1"/>
  <c r="X6" i="1"/>
  <c r="Y6" i="1" s="1"/>
  <c r="X7" i="1"/>
  <c r="Y7" i="1" s="1"/>
  <c r="X8" i="1"/>
  <c r="Y8" i="1" s="1"/>
  <c r="X9" i="1"/>
  <c r="Y9" i="1" s="1"/>
  <c r="X10" i="1"/>
  <c r="Y10" i="1" s="1"/>
  <c r="X11" i="1"/>
  <c r="X12" i="1"/>
  <c r="X13" i="1"/>
  <c r="Y13" i="1" s="1"/>
  <c r="X14" i="1"/>
  <c r="Y14" i="1" s="1"/>
  <c r="X15" i="1"/>
  <c r="X16" i="1"/>
  <c r="Y16" i="1" s="1"/>
  <c r="X17" i="1"/>
  <c r="Y17" i="1" s="1"/>
  <c r="X18" i="1"/>
  <c r="Y18" i="1" s="1"/>
  <c r="X19" i="1"/>
  <c r="Y19" i="1" s="1"/>
  <c r="X20" i="1"/>
  <c r="Y20" i="1" s="1"/>
  <c r="X21" i="1"/>
  <c r="Y21" i="1" s="1"/>
  <c r="V2" i="1"/>
  <c r="V3" i="1"/>
  <c r="V4" i="1"/>
  <c r="V5" i="1"/>
  <c r="V6" i="1"/>
  <c r="V7" i="1"/>
  <c r="V8" i="1"/>
  <c r="V9" i="1"/>
  <c r="V10" i="1"/>
  <c r="V11" i="1"/>
  <c r="V12" i="1"/>
  <c r="V13" i="1"/>
  <c r="V14" i="1"/>
  <c r="V15" i="1"/>
  <c r="V16" i="1"/>
  <c r="V17" i="1"/>
  <c r="V18" i="1"/>
  <c r="V19" i="1"/>
  <c r="V20" i="1"/>
  <c r="V21" i="1"/>
  <c r="W2" i="1"/>
  <c r="W3" i="1"/>
  <c r="W4" i="1"/>
  <c r="W5" i="1"/>
  <c r="W6" i="1"/>
  <c r="W7" i="1"/>
  <c r="W8" i="1"/>
  <c r="W9" i="1"/>
  <c r="W10" i="1"/>
  <c r="W11" i="1"/>
  <c r="W12" i="1"/>
  <c r="W13" i="1"/>
  <c r="W14" i="1"/>
  <c r="W15" i="1"/>
  <c r="W16" i="1"/>
  <c r="W17" i="1"/>
  <c r="W18" i="1"/>
  <c r="W19" i="1"/>
  <c r="W20" i="1"/>
  <c r="W21" i="1"/>
  <c r="C2" i="1" a="1"/>
  <c r="C2" i="1" s="1"/>
  <c r="R24" i="1" a="1"/>
  <c r="R24" i="1" s="1"/>
  <c r="H10" i="1"/>
  <c r="G13" i="1"/>
  <c r="G12" i="1"/>
  <c r="G11" i="1"/>
  <c r="G10" i="1"/>
  <c r="F12" i="1"/>
  <c r="F11" i="1"/>
  <c r="F10" i="1"/>
  <c r="K24" i="1"/>
  <c r="M4" i="1"/>
  <c r="M3" i="1"/>
  <c r="M2" i="1"/>
  <c r="E12" i="1"/>
  <c r="E11" i="1"/>
  <c r="E10" i="1"/>
  <c r="F31" i="1"/>
  <c r="L43" i="1"/>
  <c r="K25" i="1"/>
  <c r="K23" i="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8C33C618-5ED8-4090-99C0-039AA42E8B32}"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2" xr16:uid="{DEEBD147-CD01-46B1-807E-392A12D2745C}" name="WorksheetConnection_day-2.xlsx!Table2" type="102" refreshedVersion="8" minRefreshableVersion="5">
    <extLst>
      <ext xmlns:x15="http://schemas.microsoft.com/office/spreadsheetml/2010/11/main" uri="{DE250136-89BD-433C-8126-D09CA5730AF9}">
        <x15:connection id="Table2">
          <x15:rangePr sourceName="_xlcn.WorksheetConnection_day2.xlsxTable21"/>
        </x15:connection>
      </ext>
    </extLst>
  </connection>
  <connection id="3" xr16:uid="{0BB71A87-9FEF-4740-8A70-AF39C931D91D}" name="WorksheetConnection_Sheet1!$A$49:$N$84" type="102" refreshedVersion="8" minRefreshableVersion="5">
    <extLst>
      <ext xmlns:x15="http://schemas.microsoft.com/office/spreadsheetml/2010/11/main" uri="{DE250136-89BD-433C-8126-D09CA5730AF9}">
        <x15:connection id="Range" autoDelete="1">
          <x15:rangePr sourceName="_xlcn.WorksheetConnection_Sheet1A49N841"/>
        </x15:connection>
      </ext>
    </extLst>
  </connection>
  <connection id="4" xr16:uid="{C5C27E62-B2B7-4F59-811B-1451C5066BCD}" name="WorksheetConnection_Sheet1!$A$49:$R$98" type="102" refreshedVersion="8" minRefreshableVersion="5">
    <extLst>
      <ext xmlns:x15="http://schemas.microsoft.com/office/spreadsheetml/2010/11/main" uri="{DE250136-89BD-433C-8126-D09CA5730AF9}">
        <x15:connection id="Range 1" autoDelete="1">
          <x15:rangePr sourceName="_xlcn.WorksheetConnection_Sheet1A49R981"/>
        </x15:connection>
      </ext>
    </extLst>
  </connection>
</connections>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<sst xmlns="http://schemas.openxmlformats.org/spreadsheetml/2006/main" count="868" uniqueCount="283">
  <si>
    <t>ProductId</t>
  </si>
  <si>
    <t>ProductName</t>
  </si>
  <si>
    <t>price</t>
  </si>
  <si>
    <t>p1001</t>
  </si>
  <si>
    <t>p1002</t>
  </si>
  <si>
    <t>p1003</t>
  </si>
  <si>
    <t>p1004</t>
  </si>
  <si>
    <t>p1005</t>
  </si>
  <si>
    <t>p1006</t>
  </si>
  <si>
    <t>p1007</t>
  </si>
  <si>
    <t>Headphones</t>
  </si>
  <si>
    <t>Iphone</t>
  </si>
  <si>
    <t>Airpods</t>
  </si>
  <si>
    <t>Samsung</t>
  </si>
  <si>
    <t>MacBook</t>
  </si>
  <si>
    <t>Apple</t>
  </si>
  <si>
    <t>Quantity</t>
  </si>
  <si>
    <t>Vlookup</t>
  </si>
  <si>
    <t>Emp ID</t>
  </si>
  <si>
    <t>Name</t>
  </si>
  <si>
    <t>Department</t>
  </si>
  <si>
    <t>Salary</t>
  </si>
  <si>
    <t>E101</t>
  </si>
  <si>
    <t>Ravi</t>
  </si>
  <si>
    <t>Sales</t>
  </si>
  <si>
    <t>E102</t>
  </si>
  <si>
    <t>Priya</t>
  </si>
  <si>
    <t>HR</t>
  </si>
  <si>
    <t>E103</t>
  </si>
  <si>
    <t>Kiran</t>
  </si>
  <si>
    <t>IT</t>
  </si>
  <si>
    <t>E104</t>
  </si>
  <si>
    <t>Anil</t>
  </si>
  <si>
    <t>Finance</t>
  </si>
  <si>
    <t>e103</t>
  </si>
  <si>
    <t>A</t>
  </si>
  <si>
    <t>B</t>
  </si>
  <si>
    <t>C</t>
  </si>
  <si>
    <t>D</t>
  </si>
  <si>
    <t>Jan</t>
  </si>
  <si>
    <t>Feb</t>
  </si>
  <si>
    <t>Mar</t>
  </si>
  <si>
    <t>Apr</t>
  </si>
  <si>
    <t>Hlookup</t>
  </si>
  <si>
    <t>Product A</t>
  </si>
  <si>
    <t>Product B</t>
  </si>
  <si>
    <t>Product C</t>
  </si>
  <si>
    <t>index</t>
  </si>
  <si>
    <t>E105</t>
  </si>
  <si>
    <t>Sai</t>
  </si>
  <si>
    <t>Marketing</t>
  </si>
  <si>
    <t>vlookup</t>
  </si>
  <si>
    <t>Product</t>
  </si>
  <si>
    <t>Product D</t>
  </si>
  <si>
    <t>Profit</t>
  </si>
  <si>
    <t>xlookup</t>
  </si>
  <si>
    <t>Match</t>
  </si>
  <si>
    <t>Index</t>
  </si>
  <si>
    <t>City</t>
  </si>
  <si>
    <t>Experience</t>
  </si>
  <si>
    <t>Hyderabad</t>
  </si>
  <si>
    <t>Chennai</t>
  </si>
  <si>
    <t>Bangalore</t>
  </si>
  <si>
    <t>Pune</t>
  </si>
  <si>
    <t>E106</t>
  </si>
  <si>
    <t>Neha</t>
  </si>
  <si>
    <t>E107</t>
  </si>
  <si>
    <t>Arjun</t>
  </si>
  <si>
    <t>E108</t>
  </si>
  <si>
    <t>Divya</t>
  </si>
  <si>
    <t>E109</t>
  </si>
  <si>
    <t>Rohit</t>
  </si>
  <si>
    <t>E110</t>
  </si>
  <si>
    <t>Pooja</t>
  </si>
  <si>
    <t>E111</t>
  </si>
  <si>
    <t>Manoj</t>
  </si>
  <si>
    <t>E112</t>
  </si>
  <si>
    <t>Keerthi</t>
  </si>
  <si>
    <t>E113</t>
  </si>
  <si>
    <t>Varun</t>
  </si>
  <si>
    <t>E114</t>
  </si>
  <si>
    <t>Sneha</t>
  </si>
  <si>
    <t>E115</t>
  </si>
  <si>
    <t>Akash</t>
  </si>
  <si>
    <t>E116</t>
  </si>
  <si>
    <t>Harsha</t>
  </si>
  <si>
    <t>E117</t>
  </si>
  <si>
    <t>Bhavana</t>
  </si>
  <si>
    <t>E118</t>
  </si>
  <si>
    <t>Nikhil</t>
  </si>
  <si>
    <t>E119</t>
  </si>
  <si>
    <t>Ayesha</t>
  </si>
  <si>
    <t>E120</t>
  </si>
  <si>
    <t>Teja</t>
  </si>
  <si>
    <t>Student</t>
  </si>
  <si>
    <t>Marks</t>
  </si>
  <si>
    <t>Result</t>
  </si>
  <si>
    <t>bonus</t>
  </si>
  <si>
    <t>salaryy</t>
  </si>
  <si>
    <t>increment(AND)</t>
  </si>
  <si>
    <t>not</t>
  </si>
  <si>
    <t>x-or</t>
  </si>
  <si>
    <t>if+xor</t>
  </si>
  <si>
    <t>ColumSn1</t>
  </si>
  <si>
    <t>TransactionID</t>
  </si>
  <si>
    <t>CustomerID</t>
  </si>
  <si>
    <t>ProductID</t>
  </si>
  <si>
    <t>ProductCategory</t>
  </si>
  <si>
    <t>Price</t>
  </si>
  <si>
    <t>Discount</t>
  </si>
  <si>
    <t>TransactionDate</t>
  </si>
  <si>
    <t>PaymentMethod</t>
  </si>
  <si>
    <t>CustomerLocation</t>
  </si>
  <si>
    <t>CustomerAge</t>
  </si>
  <si>
    <t>CustomerGender</t>
  </si>
  <si>
    <t>CustomerIncomeGroup</t>
  </si>
  <si>
    <t>CustomerLoyaltyScore</t>
  </si>
  <si>
    <t>Clothing</t>
  </si>
  <si>
    <t>Cash on Delivery</t>
  </si>
  <si>
    <t>New Juan</t>
  </si>
  <si>
    <t>Female</t>
  </si>
  <si>
    <t>Medium</t>
  </si>
  <si>
    <t>Beauty</t>
  </si>
  <si>
    <t>Debit Card</t>
  </si>
  <si>
    <t>South Julie</t>
  </si>
  <si>
    <t>Other</t>
  </si>
  <si>
    <t>High</t>
  </si>
  <si>
    <t>Toys</t>
  </si>
  <si>
    <t>West Carrieview</t>
  </si>
  <si>
    <t>Bank Transfer</t>
  </si>
  <si>
    <t>Christianberg</t>
  </si>
  <si>
    <t>Low</t>
  </si>
  <si>
    <t>Electronics</t>
  </si>
  <si>
    <t>South Williamhaven</t>
  </si>
  <si>
    <t>Books</t>
  </si>
  <si>
    <t>Stephenfort</t>
  </si>
  <si>
    <t>Male</t>
  </si>
  <si>
    <t>Credit Card</t>
  </si>
  <si>
    <t>North Terristad</t>
  </si>
  <si>
    <t>Sports</t>
  </si>
  <si>
    <t>Pachecotown</t>
  </si>
  <si>
    <t>Port Philipberg</t>
  </si>
  <si>
    <t>Jenniferfurt</t>
  </si>
  <si>
    <t>Lake Carolyn</t>
  </si>
  <si>
    <t>Amandaborough</t>
  </si>
  <si>
    <t>South Maria</t>
  </si>
  <si>
    <t>Home &amp; Kitchen</t>
  </si>
  <si>
    <t>West Marissa</t>
  </si>
  <si>
    <t>Austinburgh</t>
  </si>
  <si>
    <t>Lake Jesse</t>
  </si>
  <si>
    <t>Marioburgh</t>
  </si>
  <si>
    <t>PayPal</t>
  </si>
  <si>
    <t>Ryanhaven</t>
  </si>
  <si>
    <t>Dickersonmouth</t>
  </si>
  <si>
    <t>Annaborough</t>
  </si>
  <si>
    <t>Ramirezburgh</t>
  </si>
  <si>
    <t>Sextonberg</t>
  </si>
  <si>
    <t>Beasleyshire</t>
  </si>
  <si>
    <t>Lake Brittneyland</t>
  </si>
  <si>
    <t>South John</t>
  </si>
  <si>
    <t>New Devin</t>
  </si>
  <si>
    <t>Lake Denise</t>
  </si>
  <si>
    <t>South Susan</t>
  </si>
  <si>
    <t>Johnsonchester</t>
  </si>
  <si>
    <t>Martinberg</t>
  </si>
  <si>
    <t>Lake Billy</t>
  </si>
  <si>
    <t>Josephborough</t>
  </si>
  <si>
    <t>Noahbury</t>
  </si>
  <si>
    <t>Bowmanport</t>
  </si>
  <si>
    <t>South Melvinville</t>
  </si>
  <si>
    <t>East Brittany</t>
  </si>
  <si>
    <t>Lake Stephaniefurt</t>
  </si>
  <si>
    <t>North Adam</t>
  </si>
  <si>
    <t>Sancheztown</t>
  </si>
  <si>
    <t>Burtonmouth</t>
  </si>
  <si>
    <t>Lake Josephmouth</t>
  </si>
  <si>
    <t>Clarkeville</t>
  </si>
  <si>
    <t>Christopherside</t>
  </si>
  <si>
    <t>Deborahton</t>
  </si>
  <si>
    <t>Ewingbury</t>
  </si>
  <si>
    <t>Michelleborough</t>
  </si>
  <si>
    <t>South Cathy</t>
  </si>
  <si>
    <t>Garciaburgh</t>
  </si>
  <si>
    <t>Berryfort</t>
  </si>
  <si>
    <t>Row Labels</t>
  </si>
  <si>
    <t>Sum of Price</t>
  </si>
  <si>
    <t>Grand Total</t>
  </si>
  <si>
    <t>Count of CustomerGender</t>
  </si>
  <si>
    <t>date</t>
  </si>
  <si>
    <t>conditional formatting</t>
  </si>
  <si>
    <t>thousand separator</t>
  </si>
  <si>
    <t>currancy</t>
  </si>
  <si>
    <t>percentage</t>
  </si>
  <si>
    <t>hiding zeros</t>
  </si>
  <si>
    <t>hiding -ve</t>
  </si>
  <si>
    <t>Column1</t>
  </si>
  <si>
    <t>Column2</t>
  </si>
  <si>
    <t>Column3</t>
  </si>
  <si>
    <t>Column4</t>
  </si>
  <si>
    <t>1,23,456.00</t>
  </si>
  <si>
    <t>feedback</t>
  </si>
  <si>
    <t>Region</t>
  </si>
  <si>
    <t>North</t>
  </si>
  <si>
    <t>South</t>
  </si>
  <si>
    <t>East</t>
  </si>
  <si>
    <t>West</t>
  </si>
  <si>
    <t>Sum of Discount</t>
  </si>
  <si>
    <t>Mean</t>
  </si>
  <si>
    <t>Standard Error</t>
  </si>
  <si>
    <t>Median</t>
  </si>
  <si>
    <t>Mode</t>
  </si>
  <si>
    <t>Standard Deviation</t>
  </si>
  <si>
    <t>Sample Variance</t>
  </si>
  <si>
    <t>Kurtosis</t>
  </si>
  <si>
    <t>Skewness</t>
  </si>
  <si>
    <t>Range</t>
  </si>
  <si>
    <t>Minimum</t>
  </si>
  <si>
    <t>Maximum</t>
  </si>
  <si>
    <t>Sum</t>
  </si>
  <si>
    <t>Count</t>
  </si>
  <si>
    <t>Descriptive analytics</t>
  </si>
  <si>
    <t>correlation</t>
  </si>
  <si>
    <t>More</t>
  </si>
  <si>
    <t>Frequency</t>
  </si>
  <si>
    <t>Bins</t>
  </si>
  <si>
    <t>2000</t>
  </si>
  <si>
    <t>histogram</t>
  </si>
  <si>
    <t>SUMMARY OUTPUT</t>
  </si>
  <si>
    <t>Regression Statistics</t>
  </si>
  <si>
    <t>Multiple R</t>
  </si>
  <si>
    <t>R Square</t>
  </si>
  <si>
    <t>Adjusted R Square</t>
  </si>
  <si>
    <t>Observations</t>
  </si>
  <si>
    <t>ANOVA</t>
  </si>
  <si>
    <t>Regression</t>
  </si>
  <si>
    <t>Residual</t>
  </si>
  <si>
    <t>Total</t>
  </si>
  <si>
    <t>Intercept</t>
  </si>
  <si>
    <t>df</t>
  </si>
  <si>
    <t>SS</t>
  </si>
  <si>
    <t>MS</t>
  </si>
  <si>
    <t>F</t>
  </si>
  <si>
    <t>Significance F</t>
  </si>
  <si>
    <t>Coefficients</t>
  </si>
  <si>
    <t>t Stat</t>
  </si>
  <si>
    <t>P-value</t>
  </si>
  <si>
    <t>Lower 95%</t>
  </si>
  <si>
    <t>Upper 95%</t>
  </si>
  <si>
    <t>Lower 95.0%</t>
  </si>
  <si>
    <t>Upper 95.0%</t>
  </si>
  <si>
    <t>RESIDUAL OUTPUT</t>
  </si>
  <si>
    <t>Observation</t>
  </si>
  <si>
    <t>Predicted 5200</t>
  </si>
  <si>
    <t>Residuals</t>
  </si>
  <si>
    <t>PROBABILITY OUTPUT</t>
  </si>
  <si>
    <t>Percentile</t>
  </si>
  <si>
    <t>Column5</t>
  </si>
  <si>
    <t>Anova: Single Factor</t>
  </si>
  <si>
    <t>SUMMARY</t>
  </si>
  <si>
    <t>Groups</t>
  </si>
  <si>
    <t>Average</t>
  </si>
  <si>
    <t>Variance</t>
  </si>
  <si>
    <t>Source of Variation</t>
  </si>
  <si>
    <t>F crit</t>
  </si>
  <si>
    <t>Between Groups</t>
  </si>
  <si>
    <t>Within Groups</t>
  </si>
  <si>
    <t>Anova: Two-Factor Without Replication</t>
  </si>
  <si>
    <t>Rows</t>
  </si>
  <si>
    <t>Columns</t>
  </si>
  <si>
    <t>Error</t>
  </si>
  <si>
    <t>Region / Category</t>
  </si>
  <si>
    <t>region</t>
  </si>
  <si>
    <t>Anova: Two-Factor With Replication</t>
  </si>
  <si>
    <t>Sample</t>
  </si>
  <si>
    <t>Interaction</t>
  </si>
  <si>
    <t>Within</t>
  </si>
  <si>
    <t>Method A</t>
  </si>
  <si>
    <t>Method B</t>
  </si>
  <si>
    <t>Method C</t>
  </si>
  <si>
    <t>Column Labels</t>
  </si>
  <si>
    <t>(All)</t>
  </si>
  <si>
    <t>Sum of Sales</t>
  </si>
  <si>
    <t>Total Sales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</si>
</sst>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9">
    <numFmt numFmtId="43" formatCode="_ * #,##0.00_ ;_ * \-#,##0.00_ ;_ * &quot;-&quot;??_ ;_ @_ "/>
    <numFmt numFmtId="164" formatCode="&quot;₹&quot;\ #,##0.00"/>
    <numFmt numFmtId="165" formatCode="[$-14009]dd/mm/yyyy;@"/>
    <numFmt numFmtId="166" formatCode="#,##0.0;[Red]#,##0.0"/>
    <numFmt numFmtId="167" formatCode="0.0%"/>
    <numFmt numFmtId="168" formatCode="&quot;₹&quot;#,##0.00"/>
    <numFmt numFmtId="169" formatCode="&quot;₹&quot;#,##0.0"/>
    <numFmt numFmtId="170" formatCode="0&quot;unit&quot;"/>
    <numFmt numFmtId="171" formatCode="0;\-0;&quot;zero&quot;"/>
  </numFmts>
  <fonts count="13" x14ac:knownFonts="1">
    <font>
      <sz val="11"/>
      <color theme="1"/>
      <name val="Calibri"/>
      <family val="2"/>
      <scheme val="minor"/>
    </font>
    <font>
      <b/>
      <sz val="11"/>
      <color theme="1"/>
      <name val="Calibri"/>
      <family val="2"/>
      <scheme val="minor"/>
    </font>
    <font>
      <sz val="8"/>
      <name val="Calibri"/>
      <family val="2"/>
      <scheme val="minor"/>
    </font>
    <font>
      <sz val="11"/>
      <color theme="1"/>
      <name val="Calibri"/>
      <family val="2"/>
      <scheme val="minor"/>
    </font>
    <font>
      <b/>
      <sz val="14"/>
      <name val="Calibri"/>
      <family val="2"/>
      <scheme val="minor"/>
    </font>
    <font>
      <sz val="14"/>
      <name val="Calibri"/>
      <family val="2"/>
      <scheme val="minor"/>
    </font>
    <font>
      <b/>
      <sz val="12"/>
      <color theme="1"/>
      <name val="Calibri"/>
      <family val="2"/>
      <scheme val="minor"/>
    </font>
    <font>
      <b/>
      <sz val="14"/>
      <color theme="1"/>
      <name val="Calibri"/>
      <family val="2"/>
      <scheme val="minor"/>
    </font>
    <font>
      <sz val="14"/>
      <color theme="1"/>
      <name val="Calibri"/>
      <family val="2"/>
      <scheme val="minor"/>
    </font>
    <font>
      <i/>
      <sz val="11"/>
      <color theme="1"/>
      <name val="Calibri"/>
      <family val="2"/>
      <scheme val="minor"/>
    </font>
    <font>
      <b/>
      <i/>
      <sz val="11"/>
      <color theme="1"/>
      <name val="Calibri"/>
      <family val="2"/>
      <scheme val="minor"/>
    </font>
    <font>
      <i/>
      <sz val="10"/>
      <color theme="1"/>
      <name val="Calibri"/>
      <family val="2"/>
      <scheme val="minor"/>
    </font>
    <font>
      <b/>
      <i/>
      <sz val="10"/>
      <color theme="1"/>
      <name val="Calibri"/>
      <family val="2"/>
      <scheme val="minor"/>
    </font>
  </fonts>
  <fills count="5">
    <fill>
      <patternFill patternType="none"/>
    </fill>
    <fill>
      <patternFill patternType="gray125"/>
    </fill>
    <fill>
      <patternFill patternType="solid">
        <fgColor theme="9" tint="0.39997558519241921"/>
        <bgColor indexed="64"/>
      </patternFill>
    </fill>
    <fill>
      <patternFill patternType="solid">
        <fgColor theme="3" tint="0.79998168889431442"/>
        <bgColor indexed="64"/>
      </patternFill>
    </fill>
    <fill>
      <patternFill patternType="solid">
        <fgColor theme="4" tint="0.79998168889431442"/>
        <bgColor indexed="64"/>
      </patternFill>
    </fill>
  </fills>
  <borders count="16">
    <border>
      <left/>
      <right/>
      <top/>
      <bottom/>
      <diagonal/>
    </border>
    <border>
      <left style="thin">
        <color auto="1"/>
      </left>
      <right style="thin">
        <color auto="1"/>
      </right>
      <top style="thin">
        <color auto="1"/>
      </top>
      <bottom style="thin">
        <color indexed="64"/>
      </bottom>
      <diagonal/>
    </border>
    <border>
      <left/>
      <right/>
      <top/>
      <bottom style="medium">
        <color indexed="64"/>
      </bottom>
      <diagonal/>
    </border>
    <border>
      <left/>
      <right/>
      <top style="medium">
        <color indexed="64"/>
      </top>
      <bottom style="thin">
        <color indexed="64"/>
      </bottom>
      <diagonal/>
    </border>
    <border>
      <left/>
      <right/>
      <top style="medium">
        <color indexed="64"/>
      </top>
      <bottom style="medium">
        <color indexed="64"/>
      </bottom>
      <diagonal/>
    </border>
    <border>
      <left style="thin">
        <color auto="1"/>
      </left>
      <right/>
      <top style="thin">
        <color auto="1"/>
      </top>
      <bottom style="thin">
        <color indexed="64"/>
      </bottom>
      <diagonal/>
    </border>
    <border>
      <left/>
      <right/>
      <top/>
      <bottom style="medium">
        <color indexed="18"/>
      </bottom>
      <diagonal/>
    </border>
    <border>
      <left style="thin">
        <color rgb="FFABABAB"/>
      </left>
      <right/>
      <top style="thin">
        <color rgb="FFABABAB"/>
      </top>
      <bottom/>
      <diagonal/>
    </border>
    <border>
      <left style="thin">
        <color indexed="65"/>
      </left>
      <right/>
      <top style="thin">
        <color rgb="FFABABAB"/>
      </top>
      <bottom/>
      <diagonal/>
    </border>
    <border>
      <left style="thin">
        <color indexed="65"/>
      </left>
      <right style="thin">
        <color rgb="FFABABAB"/>
      </right>
      <top style="thin">
        <color rgb="FFABABAB"/>
      </top>
      <bottom/>
      <diagonal/>
    </border>
    <border>
      <left style="thin">
        <color rgb="FFABABAB"/>
      </left>
      <right/>
      <top style="thin">
        <color indexed="65"/>
      </top>
      <bottom/>
      <diagonal/>
    </border>
    <border>
      <left style="thin">
        <color indexed="65"/>
      </left>
      <right/>
      <top style="thin">
        <color indexed="65"/>
      </top>
      <bottom/>
      <diagonal/>
    </border>
    <border>
      <left style="thin">
        <color indexed="65"/>
      </left>
      <right style="thin">
        <color rgb="FFABABAB"/>
      </right>
      <top style="thin">
        <color indexed="65"/>
      </top>
      <bottom/>
      <diagonal/>
    </border>
    <border>
      <left style="thin">
        <color rgb="FFABABAB"/>
      </left>
      <right/>
      <top style="thin">
        <color indexed="65"/>
      </top>
      <bottom style="thin">
        <color rgb="FFABABAB"/>
      </bottom>
      <diagonal/>
    </border>
    <border>
      <left style="thin">
        <color indexed="65"/>
      </left>
      <right/>
      <top style="thin">
        <color indexed="65"/>
      </top>
      <bottom style="thin">
        <color rgb="FFABABAB"/>
      </bottom>
      <diagonal/>
    </border>
    <border>
      <left style="thin">
        <color indexed="65"/>
      </left>
      <right style="thin">
        <color rgb="FFABABAB"/>
      </right>
      <top style="thin">
        <color indexed="65"/>
      </top>
      <bottom style="thin">
        <color rgb="FFABABAB"/>
      </bottom>
      <diagonal/>
    </border>
  </borders>
  <cellStyleXfs count="3">
    <xf numFmtId="0" fontId="0" fillId="0" borderId="0"/>
    <xf numFmtId="9" fontId="3" fillId="0" borderId="0" applyFont="0" applyFill="0" applyBorder="0" applyAlignment="0" applyProtection="0"/>
    <xf numFmtId="43" fontId="3" fillId="0" borderId="0" applyFont="0" applyFill="0" applyBorder="0" applyAlignment="0" applyProtection="0"/>
  </cellStyleXfs>
  <cellXfs count="76">
    <xf numFmtId="0" fontId="0" fillId="0" borderId="0" xfId="0"/>
    <xf numFmtId="0" fontId="1" fillId="0" borderId="0" xfId="0" applyFont="1"/>
    <xf numFmtId="0" fontId="1" fillId="0" borderId="0" xfId="0" applyFont="1" applyAlignment="1">
      <alignment horizontal="center" vertical="center" wrapText="1"/>
    </xf>
    <xf numFmtId="0" fontId="0" fillId="0" borderId="0" xfId="0" applyAlignment="1">
      <alignment vertical="center" wrapText="1"/>
    </xf>
    <xf numFmtId="0" fontId="0" fillId="0" borderId="0" xfId="0" applyAlignment="1">
      <alignment horizontal="center" vertical="center" wrapText="1"/>
    </xf>
    <xf numFmtId="164" fontId="0" fillId="0" borderId="0" xfId="0" applyNumberFormat="1"/>
    <xf numFmtId="2" fontId="0" fillId="0" borderId="0" xfId="0" applyNumberFormat="1"/>
    <xf numFmtId="165" fontId="1" fillId="0" borderId="0" xfId="0" applyNumberFormat="1" applyFont="1" applyAlignment="1">
      <alignment horizontal="center" vertical="center" wrapText="1"/>
    </xf>
    <xf numFmtId="165" fontId="0" fillId="0" borderId="0" xfId="0" applyNumberFormat="1" applyAlignment="1">
      <alignment vertical="center" wrapText="1"/>
    </xf>
    <xf numFmtId="165" fontId="0" fillId="0" borderId="0" xfId="0" applyNumberFormat="1"/>
    <xf numFmtId="165" fontId="1" fillId="0" borderId="0" xfId="0" applyNumberFormat="1" applyFont="1"/>
    <xf numFmtId="2" fontId="1" fillId="0" borderId="0" xfId="0" applyNumberFormat="1" applyFont="1" applyAlignment="1">
      <alignment horizontal="center" vertical="center" wrapText="1"/>
    </xf>
    <xf numFmtId="2" fontId="0" fillId="0" borderId="0" xfId="0" applyNumberFormat="1" applyAlignment="1">
      <alignment vertical="center" wrapText="1"/>
    </xf>
    <xf numFmtId="167" fontId="0" fillId="0" borderId="0" xfId="1" applyNumberFormat="1" applyFont="1"/>
    <xf numFmtId="167" fontId="1" fillId="0" borderId="0" xfId="1" applyNumberFormat="1" applyFont="1"/>
    <xf numFmtId="0" fontId="4" fillId="2" borderId="1" xfId="0" applyFont="1" applyFill="1" applyBorder="1" applyAlignment="1">
      <alignment horizontal="center" vertical="top"/>
    </xf>
    <xf numFmtId="167" fontId="4" fillId="2" borderId="1" xfId="1" applyNumberFormat="1" applyFont="1" applyFill="1" applyBorder="1" applyAlignment="1">
      <alignment horizontal="center" vertical="top"/>
    </xf>
    <xf numFmtId="165" fontId="4" fillId="2" borderId="1" xfId="0" applyNumberFormat="1" applyFont="1" applyFill="1" applyBorder="1" applyAlignment="1">
      <alignment horizontal="center" vertical="top"/>
    </xf>
    <xf numFmtId="2" fontId="4" fillId="2" borderId="1" xfId="0" applyNumberFormat="1" applyFont="1" applyFill="1" applyBorder="1" applyAlignment="1">
      <alignment horizontal="center" vertical="top"/>
    </xf>
    <xf numFmtId="0" fontId="5" fillId="0" borderId="1" xfId="0" applyFont="1" applyBorder="1" applyAlignment="1">
      <alignment horizontal="center" vertical="top"/>
    </xf>
    <xf numFmtId="167" fontId="5" fillId="0" borderId="1" xfId="1" applyNumberFormat="1" applyFont="1" applyBorder="1" applyAlignment="1">
      <alignment horizontal="center" vertical="top"/>
    </xf>
    <xf numFmtId="165" fontId="5" fillId="0" borderId="1" xfId="0" applyNumberFormat="1" applyFont="1" applyBorder="1" applyAlignment="1">
      <alignment horizontal="center" vertical="top"/>
    </xf>
    <xf numFmtId="2" fontId="5" fillId="0" borderId="1" xfId="0" applyNumberFormat="1" applyFont="1" applyBorder="1" applyAlignment="1">
      <alignment horizontal="center" vertical="top"/>
    </xf>
    <xf numFmtId="0" fontId="0" fillId="0" borderId="0" xfId="0" pivotButton="1"/>
    <xf numFmtId="0" fontId="0" fillId="0" borderId="0" xfId="0" applyAlignment="1">
      <alignment horizontal="left"/>
    </xf>
    <xf numFmtId="164" fontId="0" fillId="0" borderId="0" xfId="2" applyNumberFormat="1" applyFont="1"/>
    <xf numFmtId="164" fontId="1" fillId="0" borderId="0" xfId="2" applyNumberFormat="1" applyFont="1" applyAlignment="1">
      <alignment horizontal="center" vertical="center" wrapText="1"/>
    </xf>
    <xf numFmtId="164" fontId="4" fillId="2" borderId="1" xfId="2" applyNumberFormat="1" applyFont="1" applyFill="1" applyBorder="1" applyAlignment="1">
      <alignment horizontal="center" vertical="top"/>
    </xf>
    <xf numFmtId="164" fontId="5" fillId="0" borderId="1" xfId="2" applyNumberFormat="1" applyFont="1" applyBorder="1" applyAlignment="1">
      <alignment horizontal="center" vertical="top"/>
    </xf>
    <xf numFmtId="4" fontId="0" fillId="0" borderId="0" xfId="0" applyNumberFormat="1"/>
    <xf numFmtId="168" fontId="0" fillId="0" borderId="0" xfId="0" applyNumberFormat="1"/>
    <xf numFmtId="167" fontId="0" fillId="0" borderId="0" xfId="0" applyNumberFormat="1"/>
    <xf numFmtId="169" fontId="0" fillId="0" borderId="0" xfId="0" applyNumberFormat="1"/>
    <xf numFmtId="170" fontId="0" fillId="0" borderId="0" xfId="0" applyNumberFormat="1"/>
    <xf numFmtId="170" fontId="1" fillId="0" borderId="0" xfId="0" applyNumberFormat="1" applyFont="1" applyAlignment="1">
      <alignment horizontal="center" vertical="center" wrapText="1"/>
    </xf>
    <xf numFmtId="170" fontId="4" fillId="2" borderId="1" xfId="0" applyNumberFormat="1" applyFont="1" applyFill="1" applyBorder="1" applyAlignment="1">
      <alignment horizontal="center" vertical="top"/>
    </xf>
    <xf numFmtId="171" fontId="0" fillId="0" borderId="0" xfId="0" applyNumberFormat="1"/>
    <xf numFmtId="0" fontId="0" fillId="0" borderId="0" xfId="2" applyNumberFormat="1" applyFont="1"/>
    <xf numFmtId="0" fontId="8" fillId="0" borderId="0" xfId="0" applyFont="1"/>
    <xf numFmtId="0" fontId="7" fillId="0" borderId="0" xfId="0" applyFont="1"/>
    <xf numFmtId="167" fontId="8" fillId="0" borderId="0" xfId="0" applyNumberFormat="1" applyFont="1"/>
    <xf numFmtId="0" fontId="7" fillId="2" borderId="1" xfId="0" applyFont="1" applyFill="1" applyBorder="1" applyAlignment="1">
      <alignment horizontal="center" vertical="center" wrapText="1"/>
    </xf>
    <xf numFmtId="0" fontId="0" fillId="0" borderId="1" xfId="0" applyBorder="1"/>
    <xf numFmtId="0" fontId="0" fillId="0" borderId="1" xfId="0" applyBorder="1" applyAlignment="1">
      <alignment vertical="center" wrapText="1"/>
    </xf>
    <xf numFmtId="2" fontId="7" fillId="2" borderId="1" xfId="0" applyNumberFormat="1" applyFont="1" applyFill="1" applyBorder="1" applyAlignment="1">
      <alignment horizontal="right" vertical="center" wrapText="1"/>
    </xf>
    <xf numFmtId="2" fontId="0" fillId="0" borderId="1" xfId="0" applyNumberFormat="1" applyBorder="1" applyAlignment="1">
      <alignment horizontal="right" vertical="center" wrapText="1"/>
    </xf>
    <xf numFmtId="0" fontId="0" fillId="0" borderId="2" xfId="0" applyBorder="1"/>
    <xf numFmtId="0" fontId="9" fillId="0" borderId="3" xfId="0" applyFont="1" applyBorder="1" applyAlignment="1">
      <alignment horizontal="center"/>
    </xf>
    <xf numFmtId="0" fontId="9" fillId="0" borderId="3" xfId="0" applyFont="1" applyBorder="1" applyAlignment="1">
      <alignment horizontal="centerContinuous"/>
    </xf>
    <xf numFmtId="0" fontId="10" fillId="0" borderId="3" xfId="0" applyFont="1" applyBorder="1" applyAlignment="1">
      <alignment horizontal="center"/>
    </xf>
    <xf numFmtId="0" fontId="1" fillId="0" borderId="2" xfId="0" applyFont="1" applyBorder="1"/>
    <xf numFmtId="0" fontId="10" fillId="0" borderId="3" xfId="0" applyFont="1" applyBorder="1" applyAlignment="1">
      <alignment horizontal="centerContinuous"/>
    </xf>
    <xf numFmtId="2" fontId="7" fillId="2" borderId="5" xfId="0" applyNumberFormat="1" applyFont="1" applyFill="1" applyBorder="1" applyAlignment="1">
      <alignment horizontal="right" vertical="center" wrapText="1"/>
    </xf>
    <xf numFmtId="2" fontId="0" fillId="0" borderId="5" xfId="0" applyNumberFormat="1" applyBorder="1" applyAlignment="1">
      <alignment horizontal="right" vertical="center" wrapText="1"/>
    </xf>
    <xf numFmtId="0" fontId="7" fillId="0" borderId="2" xfId="0" applyFont="1" applyBorder="1" applyAlignment="1">
      <alignment horizontal="center"/>
    </xf>
    <xf numFmtId="0" fontId="8" fillId="0" borderId="2" xfId="0" applyFont="1" applyBorder="1" applyAlignment="1">
      <alignment horizontal="center"/>
    </xf>
    <xf numFmtId="0" fontId="0" fillId="0" borderId="4" xfId="0" applyBorder="1" applyAlignment="1">
      <alignment horizontal="center"/>
    </xf>
    <xf numFmtId="0" fontId="1" fillId="0" borderId="4" xfId="0" applyFont="1" applyBorder="1" applyAlignment="1">
      <alignment horizontal="center"/>
    </xf>
    <xf numFmtId="0" fontId="0" fillId="0" borderId="0" xfId="0" applyAlignment="1">
      <alignment horizontal="right" vertical="center" wrapText="1"/>
    </xf>
    <xf numFmtId="0" fontId="1" fillId="0" borderId="0" xfId="0" applyFont="1" applyAlignment="1">
      <alignment horizontal="right" vertical="center" wrapText="1"/>
    </xf>
    <xf numFmtId="2" fontId="0" fillId="0" borderId="0" xfId="0" applyNumberFormat="1" applyAlignment="1">
      <alignment horizontal="right" vertical="center" wrapText="1"/>
    </xf>
    <xf numFmtId="0" fontId="11" fillId="0" borderId="6" xfId="0" applyFont="1" applyBorder="1" applyAlignment="1">
      <alignment horizontal="right"/>
    </xf>
    <xf numFmtId="0" fontId="12" fillId="0" borderId="6" xfId="0" applyFont="1" applyBorder="1" applyAlignment="1">
      <alignment horizontal="right"/>
    </xf>
    <xf numFmtId="0" fontId="0" fillId="0" borderId="0" xfId="0" applyAlignment="1">
      <alignment horizontal="left" indent="1"/>
    </xf>
    <xf numFmtId="0" fontId="6" fillId="3" borderId="0" xfId="0" applyFont="1" applyFill="1" applyAlignment="1">
      <alignment horizontal="center"/>
    </xf>
    <xf numFmtId="0" fontId="1" fillId="0" borderId="0" xfId="0" applyFont="1" applyAlignment="1">
      <alignment horizontal="center"/>
    </xf>
    <xf numFmtId="0" fontId="0" fillId="0" borderId="7" xfId="0" applyBorder="1"/>
    <xf numFmtId="0" fontId="0" fillId="0" borderId="8" xfId="0" applyBorder="1"/>
    <xf numFmtId="0" fontId="0" fillId="0" borderId="9" xfId="0" applyBorder="1"/>
    <xf numFmtId="0" fontId="0" fillId="0" borderId="10" xfId="0" applyBorder="1"/>
    <xf numFmtId="0" fontId="0" fillId="0" borderId="11" xfId="0" applyBorder="1"/>
    <xf numFmtId="0" fontId="0" fillId="0" borderId="12" xfId="0" applyBorder="1"/>
    <xf numFmtId="0" fontId="0" fillId="0" borderId="13" xfId="0" applyBorder="1"/>
    <xf numFmtId="0" fontId="0" fillId="0" borderId="14" xfId="0" applyBorder="1"/>
    <xf numFmtId="0" fontId="0" fillId="0" borderId="15" xfId="0" applyBorder="1"/>
    <xf numFmtId="0" fontId="0" fillId="4" borderId="0" xfId="0" applyFill="1"/>
  </cellXfs>
  <cellStyles count="3">
    <cellStyle name="Comma" xfId="2" builtinId="3"/>
    <cellStyle name="Normal" xfId="0" builtinId="0"/>
    <cellStyle name="Percent" xfId="1" builtinId="5"/>
  </cellStyles>
  <dxfs count="61">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ill>
        <patternFill>
          <bgColor rgb="FFFFC7CE"/>
        </patternFill>
      </fill>
    </dxf>
    <dxf>
      <fill>
        <patternFill>
          <bgColor theme="8" tint="0.39994506668294322"/>
        </patternFill>
      </fill>
      <border>
        <left style="thin">
          <color auto="1"/>
        </left>
        <right style="thin">
          <color auto="1"/>
        </right>
        <top style="thin">
          <color auto="1"/>
        </top>
        <bottom style="thin">
          <color auto="1"/>
        </bottom>
        <vertical/>
        <horizontal/>
      </border>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ill>
        <patternFill>
          <bgColor theme="8" tint="0.39994506668294322"/>
        </patternFill>
      </fill>
      <border>
        <left style="thin">
          <color auto="1"/>
        </left>
        <right style="thin">
          <color auto="1"/>
        </right>
        <top style="thin">
          <color auto="1"/>
        </top>
        <bottom style="thin">
          <color auto="1"/>
        </bottom>
        <vertical/>
        <horizontal/>
      </border>
    </dxf>
    <dxf>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ill>
        <patternFill patternType="none">
          <fgColor indexed="64"/>
          <bgColor indexed="65"/>
        </patternFill>
      </fill>
      <alignment horizontal="general" vertical="bottom" textRotation="0" wrapText="0" indent="0" justifyLastLine="0" shrinkToFit="0" readingOrder="0"/>
    </dxf>
    <dxf>
      <fill>
        <patternFill patternType="none">
          <fgColor indexed="64"/>
          <bgColor indexed="65"/>
        </patternFill>
      </fill>
      <alignment horizontal="general" vertical="bottom" textRotation="0" wrapText="0" indent="0" justifyLastLine="0" shrinkToFit="0" readingOrder="0"/>
    </dxf>
    <dxf>
      <border outline="0">
        <bottom style="medium">
          <color indexed="64"/>
        </bottom>
      </border>
    </dxf>
    <dxf>
      <font>
        <b/>
        <i val="0"/>
        <strike val="0"/>
        <condense val="0"/>
        <extend val="0"/>
        <outline val="0"/>
        <shadow val="0"/>
        <u val="none"/>
        <vertAlign val="baseline"/>
        <sz val="14"/>
        <color theme="1"/>
        <name val="Calibri"/>
        <family val="2"/>
        <scheme val="minor"/>
      </font>
      <alignment horizontal="center" vertical="bottom" textRotation="0" wrapText="0" indent="0" justifyLastLine="0" shrinkToFit="0" readingOrder="0"/>
    </dxf>
    <dxf>
      <alignment horizontal="general" vertical="center" textRotation="0" wrapText="1" indent="0" justifyLastLine="0" shrinkToFit="0" readingOrder="0"/>
    </dxf>
    <dxf>
      <border outline="0">
        <left style="thin">
          <color auto="1"/>
        </left>
      </border>
    </dxf>
    <dxf>
      <alignment horizontal="general" vertical="center" textRotation="0" wrapText="1" indent="0" justifyLastLine="0" shrinkToFit="0" readingOrder="0"/>
    </dxf>
    <dxf>
      <font>
        <b/>
        <i val="0"/>
        <strike val="0"/>
        <condense val="0"/>
        <extend val="0"/>
        <outline val="0"/>
        <shadow val="0"/>
        <u val="none"/>
        <vertAlign val="baseline"/>
        <sz val="11"/>
        <color theme="1"/>
        <name val="Calibri"/>
        <family val="2"/>
        <scheme val="minor"/>
      </font>
      <alignment horizontal="center" vertical="center" textRotation="0" wrapText="1" indent="0" justifyLastLine="0" shrinkToFit="0" readingOrder="0"/>
    </dxf>
    <dxf>
      <font>
        <b/>
        <i val="0"/>
        <strike val="0"/>
        <condense val="0"/>
        <extend val="0"/>
        <outline val="0"/>
        <shadow val="0"/>
        <u val="none"/>
        <vertAlign val="baseline"/>
        <sz val="11"/>
        <color theme="1"/>
        <name val="Calibri"/>
        <family val="2"/>
        <scheme val="minor"/>
      </font>
    </dxf>
    <dxf>
      <numFmt numFmtId="171" formatCode="0;\-0;&quot;zero&quot;"/>
    </dxf>
    <dxf>
      <numFmt numFmtId="170" formatCode="0&quot;unit&quot;"/>
    </dxf>
    <dxf>
      <numFmt numFmtId="0" formatCode="General"/>
      <alignment horizontal="general" vertical="center" textRotation="0" wrapText="1" indent="0" justifyLastLine="0" shrinkToFit="0" readingOrder="0"/>
    </dxf>
    <dxf>
      <numFmt numFmtId="0" formatCode="General"/>
      <alignment horizontal="general" vertical="center" textRotation="0" wrapText="1" indent="0" justifyLastLine="0" shrinkToFit="0" readingOrder="0"/>
    </dxf>
    <dxf>
      <numFmt numFmtId="0" formatCode="General"/>
      <alignment horizontal="general" vertical="center" textRotation="0" wrapText="1" indent="0" justifyLastLine="0" shrinkToFit="0" readingOrder="0"/>
    </dxf>
    <dxf>
      <numFmt numFmtId="0" formatCode="General"/>
      <alignment horizontal="general" vertical="center" textRotation="0" wrapText="1" indent="0" justifyLastLine="0" shrinkToFit="0" readingOrder="0"/>
    </dxf>
    <dxf>
      <numFmt numFmtId="0" formatCode="General"/>
      <alignment horizontal="general" vertical="center" textRotation="0" wrapText="1" indent="0" justifyLastLine="0" shrinkToFit="0" readingOrder="0"/>
    </dxf>
    <dxf>
      <numFmt numFmtId="0" formatCode="General"/>
      <alignment horizontal="general" vertical="center" textRotation="0" wrapText="1" indent="0" justifyLastLine="0" shrinkToFit="0" readingOrder="0"/>
    </dxf>
    <dxf>
      <numFmt numFmtId="0" formatCode="General"/>
      <alignment horizontal="general"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font>
        <b/>
        <i val="0"/>
        <strike val="0"/>
        <condense val="0"/>
        <extend val="0"/>
        <outline val="0"/>
        <shadow val="0"/>
        <u val="none"/>
        <vertAlign val="baseline"/>
        <sz val="11"/>
        <color theme="1"/>
        <name val="Calibri"/>
        <family val="2"/>
        <scheme val="minor"/>
      </font>
      <alignment horizontal="center" vertical="center" textRotation="0" wrapText="1" indent="0" justifyLastLine="0" shrinkToFit="0" readingOrder="0"/>
    </dxf>
    <dxf>
      <alignment horizontal="general" vertical="center" textRotation="0" wrapText="1" indent="0" justifyLastLine="0" shrinkToFit="0" readingOrder="0"/>
    </dxf>
    <dxf>
      <numFmt numFmtId="0" formatCode="General"/>
      <alignment horizontal="general"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numFmt numFmtId="165" formatCode="[$-14009]dd/mm/yyyy;@"/>
      <alignment horizontal="general" vertical="center" textRotation="0" wrapText="1" indent="0" justifyLastLine="0" shrinkToFit="0" readingOrder="0"/>
    </dxf>
    <dxf>
      <alignment horizontal="general" vertical="center" textRotation="0" wrapText="1" indent="0" justifyLastLine="0" shrinkToFit="0" readingOrder="0"/>
    </dxf>
    <dxf>
      <font>
        <b/>
        <i val="0"/>
        <strike val="0"/>
        <condense val="0"/>
        <extend val="0"/>
        <outline val="0"/>
        <shadow val="0"/>
        <u val="none"/>
        <vertAlign val="baseline"/>
        <sz val="11"/>
        <color theme="1"/>
        <name val="Calibri"/>
        <family val="2"/>
        <scheme val="minor"/>
      </font>
      <alignment horizontal="center" vertical="center" textRotation="0" wrapText="1" indent="0" justifyLastLine="0" shrinkToFit="0" readingOrder="0"/>
    </dxf>
    <dxf>
      <numFmt numFmtId="0" formatCode="General"/>
    </dxf>
    <dxf>
      <font>
        <b/>
        <i val="0"/>
        <strike val="0"/>
        <condense val="0"/>
        <extend val="0"/>
        <outline val="0"/>
        <shadow val="0"/>
        <u val="none"/>
        <vertAlign val="baseline"/>
        <sz val="11"/>
        <color theme="1"/>
        <name val="Calibri"/>
        <family val="2"/>
        <scheme val="minor"/>
      </font>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2.xml"/><Relationship Id="rId13" Type="http://schemas.microsoft.com/office/2007/relationships/slicerCache" Target="slicerCaches/slicerCache3.xml"/><Relationship Id="rId18" Type="http://schemas.openxmlformats.org/officeDocument/2006/relationships/sharedStrings" Target="sharedStrings.xml"/><Relationship Id="rId3" Type="http://schemas.openxmlformats.org/officeDocument/2006/relationships/worksheet" Target="worksheets/sheet3.xml"/><Relationship Id="rId21" Type="http://schemas.openxmlformats.org/officeDocument/2006/relationships/calcChain" Target="calcChain.xml"/><Relationship Id="rId7" Type="http://schemas.openxmlformats.org/officeDocument/2006/relationships/pivotCacheDefinition" Target="pivotCache/pivotCacheDefinition1.xml"/><Relationship Id="rId12" Type="http://schemas.microsoft.com/office/2007/relationships/slicerCache" Target="slicerCaches/slicerCache2.xml"/><Relationship Id="rId17"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connections" Target="connections.xml"/><Relationship Id="rId20" Type="http://schemas.openxmlformats.org/officeDocument/2006/relationships/powerPivotData" Target="model/item.data"/><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1.xml"/><Relationship Id="rId5" Type="http://schemas.openxmlformats.org/officeDocument/2006/relationships/worksheet" Target="worksheets/sheet5.xml"/><Relationship Id="rId15" Type="http://schemas.openxmlformats.org/officeDocument/2006/relationships/theme" Target="theme/theme1.xml"/><Relationship Id="rId10" Type="http://schemas.openxmlformats.org/officeDocument/2006/relationships/pivotCacheDefinition" Target="pivotCache/pivotCacheDefinition4.xml"/><Relationship Id="rId19" Type="http://schemas.openxmlformats.org/officeDocument/2006/relationships/sheetMetadata" Target="metadata.xml"/><Relationship Id="rId4" Type="http://schemas.openxmlformats.org/officeDocument/2006/relationships/worksheet" Target="worksheets/sheet4.xml"/><Relationship Id="rId9" Type="http://schemas.openxmlformats.org/officeDocument/2006/relationships/pivotCacheDefinition" Target="pivotCache/pivotCacheDefinition3.xml"/><Relationship Id="rId14" Type="http://schemas.microsoft.com/office/2011/relationships/timelineCache" Target="timelineCaches/timelineCache1.xml"/><Relationship Id="rId22" Type="http://schemas.openxmlformats.org/officeDocument/2006/relationships/customXml" Target="../customXml/item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3.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4.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5.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6.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7.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9.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10.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1.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Ex1.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[day-2.xlsx]Sheet12!PivotTable54</c:name>
    <c:fmtId val="0"/>
  </c:pivotSource>
  <c:chart>
    <c:title>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dLbl>
          <c:idx val="0"/>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Sheet12!$B$3</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Sheet12!$A$4:$A$11</c:f>
              <c:strCache>
                <c:ptCount val="7"/>
                <c:pt idx="0">
                  <c:v>Beauty</c:v>
                </c:pt>
                <c:pt idx="1">
                  <c:v>Books</c:v>
                </c:pt>
                <c:pt idx="2">
                  <c:v>Clothing</c:v>
                </c:pt>
                <c:pt idx="3">
                  <c:v>Electronics</c:v>
                </c:pt>
                <c:pt idx="4">
                  <c:v>Home &amp; Kitchen</c:v>
                </c:pt>
                <c:pt idx="5">
                  <c:v>Sports</c:v>
                </c:pt>
                <c:pt idx="6">
                  <c:v>Toys</c:v>
                </c:pt>
              </c:strCache>
            </c:strRef>
          </c:cat>
          <c:val>
            <c:numRef>
              <c:f>Sheet12!$B$4:$B$11</c:f>
              <c:numCache>
                <c:formatCode>0.0%</c:formatCode>
                <c:ptCount val="7"/>
                <c:pt idx="0">
                  <c:v>0.21</c:v>
                </c:pt>
                <c:pt idx="1">
                  <c:v>0.18</c:v>
                </c:pt>
                <c:pt idx="2">
                  <c:v>0.16999999999999998</c:v>
                </c:pt>
                <c:pt idx="3">
                  <c:v>0.52</c:v>
                </c:pt>
                <c:pt idx="4">
                  <c:v>0.14000000000000001</c:v>
                </c:pt>
                <c:pt idx="5">
                  <c:v>0.26</c:v>
                </c:pt>
                <c:pt idx="6">
                  <c:v>0.53</c:v>
                </c:pt>
              </c:numCache>
            </c:numRef>
          </c:val>
          <c:extLst>
            <c:ext xmlns:c16="http://schemas.microsoft.com/office/drawing/2014/chart" uri="{C3380CC4-5D6E-409C-BE32-E72D297353CC}">
              <c16:uniqueId val="{00000000-45E6-4FEE-BE2B-09AB73863D72}"/>
            </c:ext>
          </c:extLst>
        </c:ser>
        <c:dLbls>
          <c:showLegendKey val="0"/>
          <c:showVal val="0"/>
          <c:showCatName val="0"/>
          <c:showSerName val="0"/>
          <c:showPercent val="0"/>
          <c:showBubbleSize val="0"/>
        </c:dLbls>
        <c:gapWidth val="100"/>
        <c:overlap val="-24"/>
        <c:axId val="1902650319"/>
        <c:axId val="1902646479"/>
      </c:barChart>
      <c:catAx>
        <c:axId val="1902650319"/>
        <c:scaling>
          <c:orientation val="minMax"/>
        </c:scaling>
        <c:delete val="0"/>
        <c:axPos val="b"/>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02646479"/>
        <c:crosses val="autoZero"/>
        <c:auto val="1"/>
        <c:lblAlgn val="ctr"/>
        <c:lblOffset val="100"/>
        <c:noMultiLvlLbl val="0"/>
      </c:catAx>
      <c:valAx>
        <c:axId val="1902646479"/>
        <c:scaling>
          <c:orientation val="minMax"/>
        </c:scaling>
        <c:delete val="0"/>
        <c:axPos val="l"/>
        <c:majorGridlines>
          <c:spPr>
            <a:ln w="9525" cap="flat" cmpd="sng" algn="ctr">
              <a:solidFill>
                <a:schemeClr val="tx1">
                  <a:lumMod val="15000"/>
                  <a:lumOff val="85000"/>
                </a:schemeClr>
              </a:solidFill>
              <a:round/>
            </a:ln>
            <a:effectLst/>
          </c:spPr>
        </c:majorGridlines>
        <c:numFmt formatCode="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0265031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IN"/>
              <a:t>Normal Probability Plot</a:t>
            </a:r>
          </a:p>
        </c:rich>
      </c:tx>
      <c:overlay val="0"/>
    </c:title>
    <c:autoTitleDeleted val="0"/>
    <c:plotArea>
      <c:layout/>
      <c:scatterChart>
        <c:scatterStyle val="lineMarker"/>
        <c:varyColors val="0"/>
        <c:ser>
          <c:idx val="0"/>
          <c:order val="0"/>
          <c:spPr>
            <a:ln w="19050">
              <a:noFill/>
            </a:ln>
          </c:spPr>
          <c:xVal>
            <c:numRef>
              <c:f>Sheet6!$E$27:$E$74</c:f>
              <c:numCache>
                <c:formatCode>General</c:formatCode>
                <c:ptCount val="48"/>
                <c:pt idx="0">
                  <c:v>1.0416666666666667</c:v>
                </c:pt>
                <c:pt idx="1">
                  <c:v>3.125</c:v>
                </c:pt>
                <c:pt idx="2">
                  <c:v>5.2083333333333339</c:v>
                </c:pt>
                <c:pt idx="3">
                  <c:v>7.291666666666667</c:v>
                </c:pt>
                <c:pt idx="4">
                  <c:v>9.375</c:v>
                </c:pt>
                <c:pt idx="5">
                  <c:v>11.458333333333334</c:v>
                </c:pt>
                <c:pt idx="6">
                  <c:v>13.541666666666666</c:v>
                </c:pt>
                <c:pt idx="7">
                  <c:v>15.625</c:v>
                </c:pt>
                <c:pt idx="8">
                  <c:v>17.708333333333336</c:v>
                </c:pt>
                <c:pt idx="9">
                  <c:v>19.791666666666668</c:v>
                </c:pt>
                <c:pt idx="10">
                  <c:v>21.875000000000004</c:v>
                </c:pt>
                <c:pt idx="11">
                  <c:v>23.958333333333336</c:v>
                </c:pt>
                <c:pt idx="12">
                  <c:v>26.041666666666668</c:v>
                </c:pt>
                <c:pt idx="13">
                  <c:v>28.125000000000004</c:v>
                </c:pt>
                <c:pt idx="14">
                  <c:v>30.208333333333336</c:v>
                </c:pt>
                <c:pt idx="15">
                  <c:v>32.291666666666671</c:v>
                </c:pt>
                <c:pt idx="16">
                  <c:v>34.375</c:v>
                </c:pt>
                <c:pt idx="17">
                  <c:v>36.458333333333336</c:v>
                </c:pt>
                <c:pt idx="18">
                  <c:v>38.541666666666664</c:v>
                </c:pt>
                <c:pt idx="19">
                  <c:v>40.625</c:v>
                </c:pt>
                <c:pt idx="20">
                  <c:v>42.708333333333336</c:v>
                </c:pt>
                <c:pt idx="21">
                  <c:v>44.791666666666664</c:v>
                </c:pt>
                <c:pt idx="22">
                  <c:v>46.875</c:v>
                </c:pt>
                <c:pt idx="23">
                  <c:v>48.958333333333336</c:v>
                </c:pt>
                <c:pt idx="24">
                  <c:v>51.041666666666664</c:v>
                </c:pt>
                <c:pt idx="25">
                  <c:v>53.125</c:v>
                </c:pt>
                <c:pt idx="26">
                  <c:v>55.208333333333336</c:v>
                </c:pt>
                <c:pt idx="27">
                  <c:v>57.291666666666671</c:v>
                </c:pt>
                <c:pt idx="28">
                  <c:v>59.375</c:v>
                </c:pt>
                <c:pt idx="29">
                  <c:v>61.458333333333336</c:v>
                </c:pt>
                <c:pt idx="30">
                  <c:v>63.541666666666671</c:v>
                </c:pt>
                <c:pt idx="31">
                  <c:v>65.625000000000014</c:v>
                </c:pt>
                <c:pt idx="32">
                  <c:v>67.708333333333343</c:v>
                </c:pt>
                <c:pt idx="33">
                  <c:v>69.791666666666671</c:v>
                </c:pt>
                <c:pt idx="34">
                  <c:v>71.875000000000014</c:v>
                </c:pt>
                <c:pt idx="35">
                  <c:v>73.958333333333343</c:v>
                </c:pt>
                <c:pt idx="36">
                  <c:v>76.041666666666671</c:v>
                </c:pt>
                <c:pt idx="37">
                  <c:v>78.125000000000014</c:v>
                </c:pt>
                <c:pt idx="38">
                  <c:v>80.208333333333343</c:v>
                </c:pt>
                <c:pt idx="39">
                  <c:v>82.291666666666671</c:v>
                </c:pt>
                <c:pt idx="40">
                  <c:v>84.375000000000014</c:v>
                </c:pt>
                <c:pt idx="41">
                  <c:v>86.458333333333343</c:v>
                </c:pt>
                <c:pt idx="42">
                  <c:v>88.541666666666671</c:v>
                </c:pt>
                <c:pt idx="43">
                  <c:v>90.625000000000014</c:v>
                </c:pt>
                <c:pt idx="44">
                  <c:v>92.708333333333343</c:v>
                </c:pt>
                <c:pt idx="45">
                  <c:v>94.791666666666671</c:v>
                </c:pt>
                <c:pt idx="46">
                  <c:v>96.875000000000014</c:v>
                </c:pt>
                <c:pt idx="47">
                  <c:v>98.958333333333343</c:v>
                </c:pt>
              </c:numCache>
            </c:numRef>
          </c:xVal>
          <c:yVal>
            <c:numRef>
              <c:f>Sheet6!$F$27:$F$74</c:f>
              <c:numCache>
                <c:formatCode>General</c:formatCode>
                <c:ptCount val="48"/>
                <c:pt idx="0">
                  <c:v>2200</c:v>
                </c:pt>
                <c:pt idx="1">
                  <c:v>2500</c:v>
                </c:pt>
                <c:pt idx="2">
                  <c:v>2600</c:v>
                </c:pt>
                <c:pt idx="3">
                  <c:v>2800</c:v>
                </c:pt>
                <c:pt idx="4">
                  <c:v>2800</c:v>
                </c:pt>
                <c:pt idx="5">
                  <c:v>2900</c:v>
                </c:pt>
                <c:pt idx="6">
                  <c:v>3100</c:v>
                </c:pt>
                <c:pt idx="7">
                  <c:v>3100</c:v>
                </c:pt>
                <c:pt idx="8">
                  <c:v>3200</c:v>
                </c:pt>
                <c:pt idx="9">
                  <c:v>3200</c:v>
                </c:pt>
                <c:pt idx="10">
                  <c:v>3400</c:v>
                </c:pt>
                <c:pt idx="11">
                  <c:v>3400</c:v>
                </c:pt>
                <c:pt idx="12">
                  <c:v>3600</c:v>
                </c:pt>
                <c:pt idx="13">
                  <c:v>3700</c:v>
                </c:pt>
                <c:pt idx="14">
                  <c:v>3800</c:v>
                </c:pt>
                <c:pt idx="15">
                  <c:v>3900</c:v>
                </c:pt>
                <c:pt idx="16">
                  <c:v>4100</c:v>
                </c:pt>
                <c:pt idx="17">
                  <c:v>4200</c:v>
                </c:pt>
                <c:pt idx="18">
                  <c:v>4300</c:v>
                </c:pt>
                <c:pt idx="19">
                  <c:v>4500</c:v>
                </c:pt>
                <c:pt idx="20">
                  <c:v>4600</c:v>
                </c:pt>
                <c:pt idx="21">
                  <c:v>4700</c:v>
                </c:pt>
                <c:pt idx="22">
                  <c:v>4700</c:v>
                </c:pt>
                <c:pt idx="23">
                  <c:v>4900</c:v>
                </c:pt>
                <c:pt idx="24">
                  <c:v>4900</c:v>
                </c:pt>
                <c:pt idx="25">
                  <c:v>5200</c:v>
                </c:pt>
                <c:pt idx="26">
                  <c:v>5300</c:v>
                </c:pt>
                <c:pt idx="27">
                  <c:v>5400</c:v>
                </c:pt>
                <c:pt idx="28">
                  <c:v>5600</c:v>
                </c:pt>
                <c:pt idx="29">
                  <c:v>5600</c:v>
                </c:pt>
                <c:pt idx="30">
                  <c:v>5800</c:v>
                </c:pt>
                <c:pt idx="31">
                  <c:v>5900</c:v>
                </c:pt>
                <c:pt idx="32">
                  <c:v>6100</c:v>
                </c:pt>
                <c:pt idx="33">
                  <c:v>6100</c:v>
                </c:pt>
                <c:pt idx="34">
                  <c:v>6200</c:v>
                </c:pt>
                <c:pt idx="35">
                  <c:v>6400</c:v>
                </c:pt>
                <c:pt idx="36">
                  <c:v>6500</c:v>
                </c:pt>
                <c:pt idx="37">
                  <c:v>6700</c:v>
                </c:pt>
                <c:pt idx="38">
                  <c:v>6800</c:v>
                </c:pt>
                <c:pt idx="39">
                  <c:v>6900</c:v>
                </c:pt>
                <c:pt idx="40">
                  <c:v>7000</c:v>
                </c:pt>
                <c:pt idx="41">
                  <c:v>7200</c:v>
                </c:pt>
                <c:pt idx="42">
                  <c:v>7300</c:v>
                </c:pt>
                <c:pt idx="43">
                  <c:v>7500</c:v>
                </c:pt>
                <c:pt idx="44">
                  <c:v>7700</c:v>
                </c:pt>
                <c:pt idx="45">
                  <c:v>8100</c:v>
                </c:pt>
                <c:pt idx="46">
                  <c:v>8400</c:v>
                </c:pt>
                <c:pt idx="47">
                  <c:v>8800</c:v>
                </c:pt>
              </c:numCache>
            </c:numRef>
          </c:yVal>
          <c:smooth val="0"/>
          <c:extLst>
            <c:ext xmlns:c16="http://schemas.microsoft.com/office/drawing/2014/chart" uri="{C3380CC4-5D6E-409C-BE32-E72D297353CC}">
              <c16:uniqueId val="{00000001-714F-4EAC-B4CC-67EF4424810D}"/>
            </c:ext>
          </c:extLst>
        </c:ser>
        <c:dLbls>
          <c:showLegendKey val="0"/>
          <c:showVal val="0"/>
          <c:showCatName val="0"/>
          <c:showSerName val="0"/>
          <c:showPercent val="0"/>
          <c:showBubbleSize val="0"/>
        </c:dLbls>
        <c:axId val="1092887967"/>
        <c:axId val="1092889407"/>
      </c:scatterChart>
      <c:valAx>
        <c:axId val="1092887967"/>
        <c:scaling>
          <c:orientation val="minMax"/>
        </c:scaling>
        <c:delete val="0"/>
        <c:axPos val="b"/>
        <c:title>
          <c:tx>
            <c:rich>
              <a:bodyPr/>
              <a:lstStyle/>
              <a:p>
                <a:pPr>
                  <a:defRPr/>
                </a:pPr>
                <a:r>
                  <a:rPr lang="en-IN"/>
                  <a:t>Sample Percentile</a:t>
                </a:r>
              </a:p>
            </c:rich>
          </c:tx>
          <c:overlay val="0"/>
        </c:title>
        <c:numFmt formatCode="General" sourceLinked="1"/>
        <c:majorTickMark val="out"/>
        <c:minorTickMark val="none"/>
        <c:tickLblPos val="nextTo"/>
        <c:crossAx val="1092889407"/>
        <c:crosses val="autoZero"/>
        <c:crossBetween val="midCat"/>
      </c:valAx>
      <c:valAx>
        <c:axId val="1092889407"/>
        <c:scaling>
          <c:orientation val="minMax"/>
        </c:scaling>
        <c:delete val="0"/>
        <c:axPos val="l"/>
        <c:title>
          <c:tx>
            <c:rich>
              <a:bodyPr/>
              <a:lstStyle/>
              <a:p>
                <a:pPr>
                  <a:defRPr/>
                </a:pPr>
                <a:r>
                  <a:rPr lang="en-IN"/>
                  <a:t>5200</a:t>
                </a:r>
              </a:p>
            </c:rich>
          </c:tx>
          <c:overlay val="0"/>
        </c:title>
        <c:numFmt formatCode="General" sourceLinked="1"/>
        <c:majorTickMark val="out"/>
        <c:minorTickMark val="none"/>
        <c:tickLblPos val="nextTo"/>
        <c:crossAx val="1092887967"/>
        <c:crosses val="autoZero"/>
        <c:crossBetween val="midCat"/>
      </c:valAx>
    </c:plotArea>
    <c:plotVisOnly val="1"/>
    <c:dispBlanksAs val="gap"/>
    <c:showDLblsOverMax val="0"/>
    <c:extLst>
      <c:ext xmlns:c16r3="http://schemas.microsoft.com/office/drawing/2017/03/chart" uri="{56B9EC1D-385E-4148-901F-78D8002777C0}">
        <c16r3:dataDisplayOptions16>
          <c16r3:dispNaAsBlank val="1"/>
        </c16r3:dataDisplayOptions16>
      </c:ext>
    </c:extLst>
  </c:chart>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pivotSource>
    <c:name>[day-2.xlsx]Sheet1!PivotTable2</c:name>
    <c:fmtId val="15"/>
  </c:pivotSource>
  <c:chart>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percentStacked"/>
        <c:varyColors val="0"/>
        <c:ser>
          <c:idx val="0"/>
          <c:order val="0"/>
          <c:tx>
            <c:strRef>
              <c:f>Sheet1!$V$150:$V$151</c:f>
              <c:strCache>
                <c:ptCount val="1"/>
                <c:pt idx="0">
                  <c:v>Bank Transfer</c:v>
                </c:pt>
              </c:strCache>
            </c:strRef>
          </c:tx>
          <c:spPr>
            <a:solidFill>
              <a:schemeClr val="accent1">
                <a:tint val="54000"/>
              </a:schemeClr>
            </a:solidFill>
            <a:ln>
              <a:noFill/>
            </a:ln>
            <a:effectLst/>
          </c:spPr>
          <c:invertIfNegative val="0"/>
          <c:cat>
            <c:strRef>
              <c:f>Sheet1!$U$152:$U$158</c:f>
              <c:strCache>
                <c:ptCount val="6"/>
                <c:pt idx="0">
                  <c:v>Books</c:v>
                </c:pt>
                <c:pt idx="1">
                  <c:v>Clothing</c:v>
                </c:pt>
                <c:pt idx="2">
                  <c:v>Electronics</c:v>
                </c:pt>
                <c:pt idx="3">
                  <c:v>Home &amp; Kitchen</c:v>
                </c:pt>
                <c:pt idx="4">
                  <c:v>Sports</c:v>
                </c:pt>
                <c:pt idx="5">
                  <c:v>Toys</c:v>
                </c:pt>
              </c:strCache>
            </c:strRef>
          </c:cat>
          <c:val>
            <c:numRef>
              <c:f>Sheet1!$V$152:$V$158</c:f>
              <c:numCache>
                <c:formatCode>0.00</c:formatCode>
                <c:ptCount val="6"/>
                <c:pt idx="0">
                  <c:v>9000</c:v>
                </c:pt>
                <c:pt idx="2">
                  <c:v>3600</c:v>
                </c:pt>
                <c:pt idx="4">
                  <c:v>15300</c:v>
                </c:pt>
                <c:pt idx="5">
                  <c:v>6200</c:v>
                </c:pt>
              </c:numCache>
            </c:numRef>
          </c:val>
          <c:extLst>
            <c:ext xmlns:c16="http://schemas.microsoft.com/office/drawing/2014/chart" uri="{C3380CC4-5D6E-409C-BE32-E72D297353CC}">
              <c16:uniqueId val="{00000000-22C1-429D-998B-A49ABA0E1601}"/>
            </c:ext>
          </c:extLst>
        </c:ser>
        <c:ser>
          <c:idx val="1"/>
          <c:order val="1"/>
          <c:tx>
            <c:strRef>
              <c:f>Sheet1!$W$150:$W$151</c:f>
              <c:strCache>
                <c:ptCount val="1"/>
                <c:pt idx="0">
                  <c:v>Cash on Delivery</c:v>
                </c:pt>
              </c:strCache>
            </c:strRef>
          </c:tx>
          <c:spPr>
            <a:solidFill>
              <a:schemeClr val="accent1">
                <a:tint val="77000"/>
              </a:schemeClr>
            </a:solidFill>
            <a:ln>
              <a:noFill/>
            </a:ln>
            <a:effectLst/>
          </c:spPr>
          <c:invertIfNegative val="0"/>
          <c:cat>
            <c:strRef>
              <c:f>Sheet1!$U$152:$U$158</c:f>
              <c:strCache>
                <c:ptCount val="6"/>
                <c:pt idx="0">
                  <c:v>Books</c:v>
                </c:pt>
                <c:pt idx="1">
                  <c:v>Clothing</c:v>
                </c:pt>
                <c:pt idx="2">
                  <c:v>Electronics</c:v>
                </c:pt>
                <c:pt idx="3">
                  <c:v>Home &amp; Kitchen</c:v>
                </c:pt>
                <c:pt idx="4">
                  <c:v>Sports</c:v>
                </c:pt>
                <c:pt idx="5">
                  <c:v>Toys</c:v>
                </c:pt>
              </c:strCache>
            </c:strRef>
          </c:cat>
          <c:val>
            <c:numRef>
              <c:f>Sheet1!$W$152:$W$158</c:f>
              <c:numCache>
                <c:formatCode>0.00</c:formatCode>
                <c:ptCount val="6"/>
                <c:pt idx="0">
                  <c:v>12100</c:v>
                </c:pt>
                <c:pt idx="1">
                  <c:v>18400</c:v>
                </c:pt>
                <c:pt idx="2">
                  <c:v>8400</c:v>
                </c:pt>
                <c:pt idx="4">
                  <c:v>17800</c:v>
                </c:pt>
                <c:pt idx="5">
                  <c:v>18200</c:v>
                </c:pt>
              </c:numCache>
            </c:numRef>
          </c:val>
          <c:extLst>
            <c:ext xmlns:c16="http://schemas.microsoft.com/office/drawing/2014/chart" uri="{C3380CC4-5D6E-409C-BE32-E72D297353CC}">
              <c16:uniqueId val="{00000009-22C1-429D-998B-A49ABA0E1601}"/>
            </c:ext>
          </c:extLst>
        </c:ser>
        <c:ser>
          <c:idx val="2"/>
          <c:order val="2"/>
          <c:tx>
            <c:strRef>
              <c:f>Sheet1!$X$150:$X$151</c:f>
              <c:strCache>
                <c:ptCount val="1"/>
                <c:pt idx="0">
                  <c:v>Credit Card</c:v>
                </c:pt>
              </c:strCache>
            </c:strRef>
          </c:tx>
          <c:spPr>
            <a:solidFill>
              <a:schemeClr val="accent1"/>
            </a:solidFill>
            <a:ln>
              <a:noFill/>
            </a:ln>
            <a:effectLst/>
          </c:spPr>
          <c:invertIfNegative val="0"/>
          <c:cat>
            <c:strRef>
              <c:f>Sheet1!$U$152:$U$158</c:f>
              <c:strCache>
                <c:ptCount val="6"/>
                <c:pt idx="0">
                  <c:v>Books</c:v>
                </c:pt>
                <c:pt idx="1">
                  <c:v>Clothing</c:v>
                </c:pt>
                <c:pt idx="2">
                  <c:v>Electronics</c:v>
                </c:pt>
                <c:pt idx="3">
                  <c:v>Home &amp; Kitchen</c:v>
                </c:pt>
                <c:pt idx="4">
                  <c:v>Sports</c:v>
                </c:pt>
                <c:pt idx="5">
                  <c:v>Toys</c:v>
                </c:pt>
              </c:strCache>
            </c:strRef>
          </c:cat>
          <c:val>
            <c:numRef>
              <c:f>Sheet1!$X$152:$X$158</c:f>
              <c:numCache>
                <c:formatCode>0.00</c:formatCode>
                <c:ptCount val="6"/>
                <c:pt idx="0">
                  <c:v>11300</c:v>
                </c:pt>
                <c:pt idx="2">
                  <c:v>12600</c:v>
                </c:pt>
                <c:pt idx="3">
                  <c:v>14200</c:v>
                </c:pt>
                <c:pt idx="4">
                  <c:v>5600</c:v>
                </c:pt>
                <c:pt idx="5">
                  <c:v>11400</c:v>
                </c:pt>
              </c:numCache>
            </c:numRef>
          </c:val>
          <c:extLst>
            <c:ext xmlns:c16="http://schemas.microsoft.com/office/drawing/2014/chart" uri="{C3380CC4-5D6E-409C-BE32-E72D297353CC}">
              <c16:uniqueId val="{0000000A-22C1-429D-998B-A49ABA0E1601}"/>
            </c:ext>
          </c:extLst>
        </c:ser>
        <c:ser>
          <c:idx val="3"/>
          <c:order val="3"/>
          <c:tx>
            <c:strRef>
              <c:f>Sheet1!$Y$150:$Y$151</c:f>
              <c:strCache>
                <c:ptCount val="1"/>
                <c:pt idx="0">
                  <c:v>Debit Card</c:v>
                </c:pt>
              </c:strCache>
            </c:strRef>
          </c:tx>
          <c:spPr>
            <a:solidFill>
              <a:schemeClr val="accent1">
                <a:shade val="76000"/>
              </a:schemeClr>
            </a:solidFill>
            <a:ln>
              <a:noFill/>
            </a:ln>
            <a:effectLst/>
          </c:spPr>
          <c:invertIfNegative val="0"/>
          <c:cat>
            <c:strRef>
              <c:f>Sheet1!$U$152:$U$158</c:f>
              <c:strCache>
                <c:ptCount val="6"/>
                <c:pt idx="0">
                  <c:v>Books</c:v>
                </c:pt>
                <c:pt idx="1">
                  <c:v>Clothing</c:v>
                </c:pt>
                <c:pt idx="2">
                  <c:v>Electronics</c:v>
                </c:pt>
                <c:pt idx="3">
                  <c:v>Home &amp; Kitchen</c:v>
                </c:pt>
                <c:pt idx="4">
                  <c:v>Sports</c:v>
                </c:pt>
                <c:pt idx="5">
                  <c:v>Toys</c:v>
                </c:pt>
              </c:strCache>
            </c:strRef>
          </c:cat>
          <c:val>
            <c:numRef>
              <c:f>Sheet1!$Y$152:$Y$158</c:f>
              <c:numCache>
                <c:formatCode>0.00</c:formatCode>
                <c:ptCount val="6"/>
                <c:pt idx="2">
                  <c:v>11800</c:v>
                </c:pt>
                <c:pt idx="3">
                  <c:v>8800</c:v>
                </c:pt>
                <c:pt idx="4">
                  <c:v>12600</c:v>
                </c:pt>
                <c:pt idx="5">
                  <c:v>10000</c:v>
                </c:pt>
              </c:numCache>
            </c:numRef>
          </c:val>
          <c:extLst>
            <c:ext xmlns:c16="http://schemas.microsoft.com/office/drawing/2014/chart" uri="{C3380CC4-5D6E-409C-BE32-E72D297353CC}">
              <c16:uniqueId val="{0000000B-22C1-429D-998B-A49ABA0E1601}"/>
            </c:ext>
          </c:extLst>
        </c:ser>
        <c:ser>
          <c:idx val="4"/>
          <c:order val="4"/>
          <c:tx>
            <c:strRef>
              <c:f>Sheet1!$Z$150:$Z$151</c:f>
              <c:strCache>
                <c:ptCount val="1"/>
                <c:pt idx="0">
                  <c:v>PayPal</c:v>
                </c:pt>
              </c:strCache>
            </c:strRef>
          </c:tx>
          <c:spPr>
            <a:solidFill>
              <a:schemeClr val="accent1">
                <a:shade val="53000"/>
              </a:schemeClr>
            </a:solidFill>
            <a:ln>
              <a:noFill/>
            </a:ln>
            <a:effectLst/>
          </c:spPr>
          <c:invertIfNegative val="0"/>
          <c:cat>
            <c:strRef>
              <c:f>Sheet1!$U$152:$U$158</c:f>
              <c:strCache>
                <c:ptCount val="6"/>
                <c:pt idx="0">
                  <c:v>Books</c:v>
                </c:pt>
                <c:pt idx="1">
                  <c:v>Clothing</c:v>
                </c:pt>
                <c:pt idx="2">
                  <c:v>Electronics</c:v>
                </c:pt>
                <c:pt idx="3">
                  <c:v>Home &amp; Kitchen</c:v>
                </c:pt>
                <c:pt idx="4">
                  <c:v>Sports</c:v>
                </c:pt>
                <c:pt idx="5">
                  <c:v>Toys</c:v>
                </c:pt>
              </c:strCache>
            </c:strRef>
          </c:cat>
          <c:val>
            <c:numRef>
              <c:f>Sheet1!$Z$152:$Z$158</c:f>
              <c:numCache>
                <c:formatCode>0.00</c:formatCode>
                <c:ptCount val="6"/>
                <c:pt idx="1">
                  <c:v>3100</c:v>
                </c:pt>
                <c:pt idx="2">
                  <c:v>8500</c:v>
                </c:pt>
              </c:numCache>
            </c:numRef>
          </c:val>
          <c:extLst>
            <c:ext xmlns:c16="http://schemas.microsoft.com/office/drawing/2014/chart" uri="{C3380CC4-5D6E-409C-BE32-E72D297353CC}">
              <c16:uniqueId val="{0000000C-22C1-429D-998B-A49ABA0E1601}"/>
            </c:ext>
          </c:extLst>
        </c:ser>
        <c:dLbls>
          <c:showLegendKey val="0"/>
          <c:showVal val="0"/>
          <c:showCatName val="0"/>
          <c:showSerName val="0"/>
          <c:showPercent val="0"/>
          <c:showBubbleSize val="0"/>
        </c:dLbls>
        <c:gapWidth val="219"/>
        <c:overlap val="100"/>
        <c:axId val="1050893232"/>
        <c:axId val="1050899472"/>
      </c:barChart>
      <c:catAx>
        <c:axId val="1050893232"/>
        <c:scaling>
          <c:orientation val="minMax"/>
        </c:scaling>
        <c:delete val="0"/>
        <c:axPos val="b"/>
        <c:title>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50899472"/>
        <c:crosses val="autoZero"/>
        <c:auto val="1"/>
        <c:lblAlgn val="ctr"/>
        <c:lblOffset val="100"/>
        <c:noMultiLvlLbl val="0"/>
      </c:catAx>
      <c:valAx>
        <c:axId val="1050899472"/>
        <c:scaling>
          <c:orientation val="minMax"/>
        </c:scaling>
        <c:delete val="0"/>
        <c:axPos val="l"/>
        <c:majorGridlines>
          <c:spPr>
            <a:ln w="9525" cap="flat" cmpd="sng" algn="ctr">
              <a:solidFill>
                <a:schemeClr val="tx1">
                  <a:lumMod val="15000"/>
                  <a:lumOff val="85000"/>
                </a:schemeClr>
              </a:solidFill>
              <a:round/>
            </a:ln>
            <a:effectLst/>
          </c:spPr>
        </c:majorGridlines>
        <c:title>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50893232"/>
        <c:crosses val="autoZero"/>
        <c:crossBetween val="between"/>
      </c:valAx>
      <c:spPr>
        <a:noFill/>
        <a:ln>
          <a:noFill/>
        </a:ln>
        <a:effectLst/>
      </c:spPr>
    </c:plotArea>
    <c:legend>
      <c:legendPos val="r"/>
      <c:layout>
        <c:manualLayout>
          <c:xMode val="edge"/>
          <c:yMode val="edge"/>
          <c:x val="0.73960813570801187"/>
          <c:y val="0.34609662688891457"/>
          <c:w val="0.24018804854647655"/>
          <c:h val="0.42332303675153238"/>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317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pivotSource>
    <c:name>[day-2.xlsx]Sheet1!PivotTable6</c:name>
    <c:fmtId val="7"/>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pivotFmt>
      <c:pivotFmt>
        <c:idx val="10"/>
        <c:spPr>
          <a:solidFill>
            <a:schemeClr val="accent1"/>
          </a:solidFill>
          <a:ln w="19050">
            <a:solidFill>
              <a:schemeClr val="lt1"/>
            </a:solidFill>
          </a:ln>
          <a:effectLst/>
        </c:spPr>
      </c:pivotFmt>
      <c:pivotFmt>
        <c:idx val="11"/>
        <c:spPr>
          <a:solidFill>
            <a:schemeClr val="accent1"/>
          </a:solidFill>
          <a:ln w="19050">
            <a:solidFill>
              <a:schemeClr val="lt1"/>
            </a:solidFill>
          </a:ln>
          <a:effectLst/>
        </c:spPr>
      </c:pivotFmt>
      <c:pivotFmt>
        <c:idx val="12"/>
        <c:spPr>
          <a:solidFill>
            <a:schemeClr val="accent1"/>
          </a:solidFill>
          <a:ln w="19050">
            <a:solidFill>
              <a:schemeClr val="lt1"/>
            </a:solidFill>
          </a:ln>
          <a:effectLst/>
        </c:spPr>
      </c:pivotFmt>
      <c:pivotFmt>
        <c:idx val="13"/>
        <c:spPr>
          <a:solidFill>
            <a:schemeClr val="accent1"/>
          </a:solidFill>
          <a:ln w="19050">
            <a:solidFill>
              <a:schemeClr val="lt1"/>
            </a:solidFill>
          </a:ln>
          <a:effectLst/>
        </c:spPr>
      </c:pivotFmt>
      <c:pivotFmt>
        <c:idx val="14"/>
        <c:spPr>
          <a:solidFill>
            <a:schemeClr val="accent1"/>
          </a:solidFill>
          <a:ln w="19050">
            <a:solidFill>
              <a:schemeClr val="lt1"/>
            </a:solidFill>
          </a:ln>
          <a:effectLst/>
        </c:spPr>
      </c:pivotFmt>
      <c:pivotFmt>
        <c:idx val="15"/>
        <c:spPr>
          <a:solidFill>
            <a:schemeClr val="accent1"/>
          </a:solidFill>
          <a:ln w="19050">
            <a:solidFill>
              <a:schemeClr val="lt1"/>
            </a:solidFill>
          </a:ln>
          <a:effectLst/>
        </c:spPr>
      </c:pivotFmt>
      <c:pivotFmt>
        <c:idx val="16"/>
        <c:spPr>
          <a:solidFill>
            <a:schemeClr val="accent1"/>
          </a:solidFill>
          <a:ln w="19050">
            <a:solidFill>
              <a:schemeClr val="lt1"/>
            </a:solidFill>
          </a:ln>
          <a:effectLst/>
        </c:spPr>
      </c:pivotFmt>
      <c:pivotFmt>
        <c:idx val="17"/>
        <c:spPr>
          <a:solidFill>
            <a:schemeClr val="accent1"/>
          </a:solidFill>
          <a:ln w="19050">
            <a:solidFill>
              <a:schemeClr val="lt1"/>
            </a:solidFill>
          </a:ln>
          <a:effectLst/>
        </c:spPr>
      </c:pivotFmt>
      <c:pivotFmt>
        <c:idx val="18"/>
        <c:spPr>
          <a:solidFill>
            <a:schemeClr val="accent1"/>
          </a:solidFill>
          <a:ln w="19050">
            <a:solidFill>
              <a:schemeClr val="lt1"/>
            </a:solidFill>
          </a:ln>
          <a:effectLst/>
        </c:spPr>
      </c:pivotFmt>
      <c:pivotFmt>
        <c:idx val="19"/>
        <c:spPr>
          <a:solidFill>
            <a:schemeClr val="accent1"/>
          </a:solidFill>
          <a:ln w="19050">
            <a:solidFill>
              <a:schemeClr val="lt1"/>
            </a:solidFill>
          </a:ln>
          <a:effectLst/>
        </c:spPr>
      </c:pivotFmt>
      <c:pivotFmt>
        <c:idx val="2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1"/>
        <c:spPr>
          <a:solidFill>
            <a:schemeClr val="accent1"/>
          </a:solidFill>
          <a:ln w="19050">
            <a:solidFill>
              <a:schemeClr val="lt1"/>
            </a:solidFill>
          </a:ln>
          <a:effectLst/>
        </c:spPr>
      </c:pivotFmt>
      <c:pivotFmt>
        <c:idx val="22"/>
        <c:spPr>
          <a:solidFill>
            <a:schemeClr val="accent1"/>
          </a:solidFill>
          <a:ln w="19050">
            <a:solidFill>
              <a:schemeClr val="lt1"/>
            </a:solidFill>
          </a:ln>
          <a:effectLst/>
        </c:spPr>
      </c:pivotFmt>
      <c:pivotFmt>
        <c:idx val="23"/>
        <c:spPr>
          <a:solidFill>
            <a:schemeClr val="accent1"/>
          </a:solidFill>
          <a:ln w="19050">
            <a:solidFill>
              <a:schemeClr val="lt1"/>
            </a:solidFill>
          </a:ln>
          <a:effectLst/>
        </c:spPr>
      </c:pivotFmt>
      <c:pivotFmt>
        <c:idx val="24"/>
        <c:spPr>
          <a:solidFill>
            <a:schemeClr val="accent1"/>
          </a:solidFill>
          <a:ln w="19050">
            <a:solidFill>
              <a:schemeClr val="lt1"/>
            </a:solidFill>
          </a:ln>
          <a:effectLst/>
        </c:spPr>
      </c:pivotFmt>
      <c:pivotFmt>
        <c:idx val="25"/>
        <c:spPr>
          <a:solidFill>
            <a:schemeClr val="accent1"/>
          </a:solidFill>
          <a:ln w="19050">
            <a:solidFill>
              <a:schemeClr val="lt1"/>
            </a:solidFill>
          </a:ln>
          <a:effectLst/>
        </c:spPr>
      </c:pivotFmt>
      <c:pivotFmt>
        <c:idx val="26"/>
        <c:spPr>
          <a:solidFill>
            <a:schemeClr val="accent1"/>
          </a:solidFill>
          <a:ln w="19050">
            <a:solidFill>
              <a:schemeClr val="lt1"/>
            </a:solidFill>
          </a:ln>
          <a:effectLst/>
        </c:spPr>
      </c:pivotFmt>
      <c:pivotFmt>
        <c:idx val="27"/>
        <c:spPr>
          <a:solidFill>
            <a:schemeClr val="accent1"/>
          </a:solidFill>
          <a:ln w="19050">
            <a:solidFill>
              <a:schemeClr val="lt1"/>
            </a:solidFill>
          </a:ln>
          <a:effectLst/>
        </c:spPr>
      </c:pivotFmt>
      <c:pivotFmt>
        <c:idx val="28"/>
        <c:spPr>
          <a:solidFill>
            <a:schemeClr val="accent1"/>
          </a:solidFill>
          <a:ln w="19050">
            <a:solidFill>
              <a:schemeClr val="lt1"/>
            </a:solidFill>
          </a:ln>
          <a:effectLst/>
        </c:spPr>
      </c:pivotFmt>
      <c:pivotFmt>
        <c:idx val="29"/>
        <c:spPr>
          <a:solidFill>
            <a:schemeClr val="accent1"/>
          </a:solidFill>
          <a:ln w="19050">
            <a:solidFill>
              <a:schemeClr val="lt1"/>
            </a:solidFill>
          </a:ln>
          <a:effectLst/>
        </c:spPr>
      </c:pivotFmt>
      <c:pivotFmt>
        <c:idx val="30"/>
        <c:spPr>
          <a:solidFill>
            <a:schemeClr val="accent1"/>
          </a:solidFill>
          <a:ln w="19050">
            <a:solidFill>
              <a:schemeClr val="lt1"/>
            </a:solidFill>
          </a:ln>
          <a:effectLst/>
        </c:spPr>
      </c:pivotFmt>
      <c:pivotFmt>
        <c:idx val="31"/>
        <c:spPr>
          <a:solidFill>
            <a:schemeClr val="accent1"/>
          </a:solidFill>
          <a:ln w="19050">
            <a:solidFill>
              <a:schemeClr val="lt1"/>
            </a:solidFill>
          </a:ln>
          <a:effectLst/>
        </c:spPr>
      </c:pivotFmt>
      <c:pivotFmt>
        <c:idx val="32"/>
        <c:spPr>
          <a:solidFill>
            <a:schemeClr val="accent1"/>
          </a:solidFill>
          <a:ln w="19050">
            <a:solidFill>
              <a:schemeClr val="lt1"/>
            </a:solidFill>
          </a:ln>
          <a:effectLst/>
        </c:spPr>
      </c:pivotFmt>
      <c:pivotFmt>
        <c:idx val="33"/>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4"/>
        <c:spPr>
          <a:solidFill>
            <a:schemeClr val="accent1"/>
          </a:solidFill>
          <a:ln w="19050">
            <a:solidFill>
              <a:schemeClr val="lt1"/>
            </a:solidFill>
          </a:ln>
          <a:effectLst/>
        </c:spPr>
      </c:pivotFmt>
      <c:pivotFmt>
        <c:idx val="35"/>
        <c:spPr>
          <a:solidFill>
            <a:schemeClr val="accent1"/>
          </a:solidFill>
          <a:ln w="19050">
            <a:solidFill>
              <a:schemeClr val="lt1"/>
            </a:solidFill>
          </a:ln>
          <a:effectLst/>
        </c:spPr>
      </c:pivotFmt>
      <c:pivotFmt>
        <c:idx val="36"/>
        <c:spPr>
          <a:solidFill>
            <a:schemeClr val="accent1"/>
          </a:solidFill>
          <a:ln w="19050">
            <a:solidFill>
              <a:schemeClr val="lt1"/>
            </a:solidFill>
          </a:ln>
          <a:effectLst/>
        </c:spPr>
      </c:pivotFmt>
      <c:pivotFmt>
        <c:idx val="37"/>
        <c:spPr>
          <a:solidFill>
            <a:schemeClr val="accent1"/>
          </a:solidFill>
          <a:ln w="19050">
            <a:solidFill>
              <a:schemeClr val="lt1"/>
            </a:solidFill>
          </a:ln>
          <a:effectLst/>
        </c:spPr>
      </c:pivotFmt>
      <c:pivotFmt>
        <c:idx val="38"/>
        <c:spPr>
          <a:solidFill>
            <a:schemeClr val="accent1"/>
          </a:solidFill>
          <a:ln w="19050">
            <a:solidFill>
              <a:schemeClr val="lt1"/>
            </a:solidFill>
          </a:ln>
          <a:effectLst/>
        </c:spPr>
      </c:pivotFmt>
      <c:pivotFmt>
        <c:idx val="39"/>
        <c:spPr>
          <a:solidFill>
            <a:schemeClr val="accent1"/>
          </a:solidFill>
          <a:ln w="19050">
            <a:solidFill>
              <a:schemeClr val="lt1"/>
            </a:solidFill>
          </a:ln>
          <a:effectLst/>
        </c:spPr>
      </c:pivotFmt>
      <c:pivotFmt>
        <c:idx val="40"/>
        <c:spPr>
          <a:solidFill>
            <a:schemeClr val="accent1"/>
          </a:solidFill>
          <a:ln w="19050">
            <a:solidFill>
              <a:schemeClr val="lt1"/>
            </a:solidFill>
          </a:ln>
          <a:effectLst/>
        </c:spPr>
      </c:pivotFmt>
      <c:pivotFmt>
        <c:idx val="41"/>
        <c:spPr>
          <a:solidFill>
            <a:schemeClr val="accent1"/>
          </a:solidFill>
          <a:ln w="19050">
            <a:solidFill>
              <a:schemeClr val="lt1"/>
            </a:solidFill>
          </a:ln>
          <a:effectLst/>
        </c:spPr>
      </c:pivotFmt>
      <c:pivotFmt>
        <c:idx val="42"/>
        <c:spPr>
          <a:solidFill>
            <a:schemeClr val="accent1"/>
          </a:solidFill>
          <a:ln w="19050">
            <a:solidFill>
              <a:schemeClr val="lt1"/>
            </a:solidFill>
          </a:ln>
          <a:effectLst/>
        </c:spPr>
      </c:pivotFmt>
      <c:pivotFmt>
        <c:idx val="43"/>
        <c:spPr>
          <a:solidFill>
            <a:schemeClr val="accent1"/>
          </a:solidFill>
          <a:ln w="19050">
            <a:solidFill>
              <a:schemeClr val="lt1"/>
            </a:solidFill>
          </a:ln>
          <a:effectLst/>
        </c:spPr>
      </c:pivotFmt>
      <c:pivotFmt>
        <c:idx val="44"/>
        <c:spPr>
          <a:solidFill>
            <a:schemeClr val="accent1"/>
          </a:solidFill>
          <a:ln w="19050">
            <a:solidFill>
              <a:schemeClr val="lt1"/>
            </a:solidFill>
          </a:ln>
          <a:effectLst/>
        </c:spPr>
      </c:pivotFmt>
      <c:pivotFmt>
        <c:idx val="45"/>
        <c:spPr>
          <a:solidFill>
            <a:schemeClr val="accent1"/>
          </a:solidFill>
          <a:ln w="19050">
            <a:solidFill>
              <a:schemeClr val="lt1"/>
            </a:solidFill>
          </a:ln>
          <a:effectLst/>
        </c:spPr>
      </c:pivotFmt>
      <c:pivotFmt>
        <c:idx val="46"/>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7"/>
        <c:spPr>
          <a:solidFill>
            <a:schemeClr val="accent1"/>
          </a:solidFill>
          <a:ln w="19050">
            <a:solidFill>
              <a:schemeClr val="lt1"/>
            </a:solidFill>
          </a:ln>
          <a:effectLst/>
        </c:spPr>
      </c:pivotFmt>
      <c:pivotFmt>
        <c:idx val="48"/>
        <c:spPr>
          <a:solidFill>
            <a:schemeClr val="accent1"/>
          </a:solidFill>
          <a:ln w="19050">
            <a:solidFill>
              <a:schemeClr val="lt1"/>
            </a:solidFill>
          </a:ln>
          <a:effectLst/>
        </c:spPr>
      </c:pivotFmt>
      <c:pivotFmt>
        <c:idx val="49"/>
        <c:spPr>
          <a:solidFill>
            <a:schemeClr val="accent1"/>
          </a:solidFill>
          <a:ln w="19050">
            <a:solidFill>
              <a:schemeClr val="lt1"/>
            </a:solidFill>
          </a:ln>
          <a:effectLst/>
        </c:spPr>
      </c:pivotFmt>
      <c:pivotFmt>
        <c:idx val="50"/>
        <c:spPr>
          <a:solidFill>
            <a:schemeClr val="accent1"/>
          </a:solidFill>
          <a:ln w="19050">
            <a:solidFill>
              <a:schemeClr val="lt1"/>
            </a:solidFill>
          </a:ln>
          <a:effectLst/>
        </c:spPr>
      </c:pivotFmt>
      <c:pivotFmt>
        <c:idx val="51"/>
        <c:spPr>
          <a:solidFill>
            <a:schemeClr val="accent1"/>
          </a:solidFill>
          <a:ln w="19050">
            <a:solidFill>
              <a:schemeClr val="lt1"/>
            </a:solidFill>
          </a:ln>
          <a:effectLst/>
        </c:spPr>
      </c:pivotFmt>
      <c:pivotFmt>
        <c:idx val="52"/>
        <c:spPr>
          <a:solidFill>
            <a:schemeClr val="accent1"/>
          </a:solidFill>
          <a:ln w="19050">
            <a:solidFill>
              <a:schemeClr val="lt1"/>
            </a:solidFill>
          </a:ln>
          <a:effectLst/>
        </c:spPr>
      </c:pivotFmt>
      <c:pivotFmt>
        <c:idx val="53"/>
        <c:spPr>
          <a:solidFill>
            <a:schemeClr val="accent1"/>
          </a:solidFill>
          <a:ln w="19050">
            <a:solidFill>
              <a:schemeClr val="lt1"/>
            </a:solidFill>
          </a:ln>
          <a:effectLst/>
        </c:spPr>
      </c:pivotFmt>
      <c:pivotFmt>
        <c:idx val="54"/>
        <c:spPr>
          <a:solidFill>
            <a:schemeClr val="accent1"/>
          </a:solidFill>
          <a:ln w="19050">
            <a:solidFill>
              <a:schemeClr val="lt1"/>
            </a:solidFill>
          </a:ln>
          <a:effectLst/>
        </c:spPr>
      </c:pivotFmt>
      <c:pivotFmt>
        <c:idx val="55"/>
        <c:spPr>
          <a:solidFill>
            <a:schemeClr val="accent1"/>
          </a:solidFill>
          <a:ln w="19050">
            <a:solidFill>
              <a:schemeClr val="lt1"/>
            </a:solidFill>
          </a:ln>
          <a:effectLst/>
        </c:spPr>
      </c:pivotFmt>
      <c:pivotFmt>
        <c:idx val="56"/>
        <c:spPr>
          <a:solidFill>
            <a:schemeClr val="accent1"/>
          </a:solidFill>
          <a:ln w="19050">
            <a:solidFill>
              <a:schemeClr val="lt1"/>
            </a:solidFill>
          </a:ln>
          <a:effectLst/>
        </c:spPr>
      </c:pivotFmt>
      <c:pivotFmt>
        <c:idx val="57"/>
        <c:spPr>
          <a:solidFill>
            <a:schemeClr val="accent1"/>
          </a:solidFill>
          <a:ln w="19050">
            <a:solidFill>
              <a:schemeClr val="lt1"/>
            </a:solidFill>
          </a:ln>
          <a:effectLst/>
        </c:spPr>
      </c:pivotFmt>
      <c:pivotFmt>
        <c:idx val="58"/>
        <c:spPr>
          <a:solidFill>
            <a:schemeClr val="accent1"/>
          </a:solidFill>
          <a:ln w="19050">
            <a:solidFill>
              <a:schemeClr val="lt1"/>
            </a:solidFill>
          </a:ln>
          <a:effectLst/>
        </c:spPr>
      </c:pivotFmt>
      <c:pivotFmt>
        <c:idx val="59"/>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0"/>
        <c:spPr>
          <a:solidFill>
            <a:schemeClr val="accent1"/>
          </a:solidFill>
          <a:ln w="19050">
            <a:solidFill>
              <a:schemeClr val="lt1"/>
            </a:solidFill>
          </a:ln>
          <a:effectLst/>
        </c:spPr>
      </c:pivotFmt>
      <c:pivotFmt>
        <c:idx val="61"/>
        <c:spPr>
          <a:solidFill>
            <a:schemeClr val="accent1"/>
          </a:solidFill>
          <a:ln w="19050">
            <a:solidFill>
              <a:schemeClr val="lt1"/>
            </a:solidFill>
          </a:ln>
          <a:effectLst/>
        </c:spPr>
      </c:pivotFmt>
      <c:pivotFmt>
        <c:idx val="62"/>
        <c:spPr>
          <a:solidFill>
            <a:schemeClr val="accent1"/>
          </a:solidFill>
          <a:ln w="19050">
            <a:solidFill>
              <a:schemeClr val="lt1"/>
            </a:solidFill>
          </a:ln>
          <a:effectLst/>
        </c:spPr>
      </c:pivotFmt>
      <c:pivotFmt>
        <c:idx val="63"/>
        <c:spPr>
          <a:solidFill>
            <a:schemeClr val="accent1"/>
          </a:solidFill>
          <a:ln w="19050">
            <a:solidFill>
              <a:schemeClr val="lt1"/>
            </a:solidFill>
          </a:ln>
          <a:effectLst/>
        </c:spPr>
      </c:pivotFmt>
      <c:pivotFmt>
        <c:idx val="64"/>
        <c:spPr>
          <a:solidFill>
            <a:schemeClr val="accent1"/>
          </a:solidFill>
          <a:ln w="19050">
            <a:solidFill>
              <a:schemeClr val="lt1"/>
            </a:solidFill>
          </a:ln>
          <a:effectLst/>
        </c:spPr>
      </c:pivotFmt>
      <c:pivotFmt>
        <c:idx val="65"/>
        <c:spPr>
          <a:solidFill>
            <a:schemeClr val="accent1"/>
          </a:solidFill>
          <a:ln w="19050">
            <a:solidFill>
              <a:schemeClr val="lt1"/>
            </a:solidFill>
          </a:ln>
          <a:effectLst/>
        </c:spPr>
      </c:pivotFmt>
      <c:pivotFmt>
        <c:idx val="66"/>
        <c:spPr>
          <a:solidFill>
            <a:schemeClr val="accent1"/>
          </a:solidFill>
          <a:ln w="19050">
            <a:solidFill>
              <a:schemeClr val="lt1"/>
            </a:solidFill>
          </a:ln>
          <a:effectLst/>
        </c:spPr>
      </c:pivotFmt>
      <c:pivotFmt>
        <c:idx val="67"/>
        <c:spPr>
          <a:solidFill>
            <a:schemeClr val="accent1"/>
          </a:solidFill>
          <a:ln w="19050">
            <a:solidFill>
              <a:schemeClr val="lt1"/>
            </a:solidFill>
          </a:ln>
          <a:effectLst/>
        </c:spPr>
      </c:pivotFmt>
      <c:pivotFmt>
        <c:idx val="68"/>
        <c:spPr>
          <a:solidFill>
            <a:schemeClr val="accent1"/>
          </a:solidFill>
          <a:ln w="19050">
            <a:solidFill>
              <a:schemeClr val="lt1"/>
            </a:solidFill>
          </a:ln>
          <a:effectLst/>
        </c:spPr>
      </c:pivotFmt>
      <c:pivotFmt>
        <c:idx val="69"/>
        <c:spPr>
          <a:solidFill>
            <a:schemeClr val="accent1"/>
          </a:solidFill>
          <a:ln w="19050">
            <a:solidFill>
              <a:schemeClr val="lt1"/>
            </a:solidFill>
          </a:ln>
          <a:effectLst/>
        </c:spPr>
      </c:pivotFmt>
      <c:pivotFmt>
        <c:idx val="70"/>
        <c:spPr>
          <a:solidFill>
            <a:schemeClr val="accent1"/>
          </a:solidFill>
          <a:ln w="19050">
            <a:solidFill>
              <a:schemeClr val="lt1"/>
            </a:solidFill>
          </a:ln>
          <a:effectLst/>
        </c:spPr>
      </c:pivotFmt>
      <c:pivotFmt>
        <c:idx val="71"/>
        <c:spPr>
          <a:solidFill>
            <a:schemeClr val="accent1"/>
          </a:solidFill>
          <a:ln w="19050">
            <a:solidFill>
              <a:schemeClr val="lt1"/>
            </a:solidFill>
          </a:ln>
          <a:effectLst/>
        </c:spPr>
      </c:pivotFmt>
      <c:pivotFmt>
        <c:idx val="72"/>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3"/>
        <c:spPr>
          <a:solidFill>
            <a:schemeClr val="accent1"/>
          </a:solidFill>
          <a:ln w="19050">
            <a:solidFill>
              <a:schemeClr val="lt1"/>
            </a:solidFill>
          </a:ln>
          <a:effectLst/>
        </c:spPr>
      </c:pivotFmt>
      <c:pivotFmt>
        <c:idx val="74"/>
        <c:spPr>
          <a:solidFill>
            <a:schemeClr val="accent1"/>
          </a:solidFill>
          <a:ln w="19050">
            <a:solidFill>
              <a:schemeClr val="lt1"/>
            </a:solidFill>
          </a:ln>
          <a:effectLst/>
        </c:spPr>
      </c:pivotFmt>
      <c:pivotFmt>
        <c:idx val="75"/>
        <c:spPr>
          <a:solidFill>
            <a:schemeClr val="accent1"/>
          </a:solidFill>
          <a:ln w="19050">
            <a:solidFill>
              <a:schemeClr val="lt1"/>
            </a:solidFill>
          </a:ln>
          <a:effectLst/>
        </c:spPr>
      </c:pivotFmt>
      <c:pivotFmt>
        <c:idx val="76"/>
        <c:spPr>
          <a:solidFill>
            <a:schemeClr val="accent1"/>
          </a:solidFill>
          <a:ln w="19050">
            <a:solidFill>
              <a:schemeClr val="lt1"/>
            </a:solidFill>
          </a:ln>
          <a:effectLst/>
        </c:spPr>
      </c:pivotFmt>
      <c:pivotFmt>
        <c:idx val="77"/>
        <c:spPr>
          <a:solidFill>
            <a:schemeClr val="accent1"/>
          </a:solidFill>
          <a:ln w="19050">
            <a:solidFill>
              <a:schemeClr val="lt1"/>
            </a:solidFill>
          </a:ln>
          <a:effectLst/>
        </c:spPr>
      </c:pivotFmt>
      <c:pivotFmt>
        <c:idx val="78"/>
        <c:spPr>
          <a:solidFill>
            <a:schemeClr val="accent1"/>
          </a:solidFill>
          <a:ln w="19050">
            <a:solidFill>
              <a:schemeClr val="lt1"/>
            </a:solidFill>
          </a:ln>
          <a:effectLst/>
        </c:spPr>
      </c:pivotFmt>
      <c:pivotFmt>
        <c:idx val="79"/>
        <c:spPr>
          <a:solidFill>
            <a:schemeClr val="accent1"/>
          </a:solidFill>
          <a:ln w="19050">
            <a:solidFill>
              <a:schemeClr val="lt1"/>
            </a:solidFill>
          </a:ln>
          <a:effectLst/>
        </c:spPr>
      </c:pivotFmt>
      <c:pivotFmt>
        <c:idx val="80"/>
        <c:spPr>
          <a:solidFill>
            <a:schemeClr val="accent1"/>
          </a:solidFill>
          <a:ln w="19050">
            <a:solidFill>
              <a:schemeClr val="lt1"/>
            </a:solidFill>
          </a:ln>
          <a:effectLst/>
        </c:spPr>
      </c:pivotFmt>
      <c:pivotFmt>
        <c:idx val="81"/>
        <c:spPr>
          <a:solidFill>
            <a:schemeClr val="accent1"/>
          </a:solidFill>
          <a:ln w="19050">
            <a:solidFill>
              <a:schemeClr val="lt1"/>
            </a:solidFill>
          </a:ln>
          <a:effectLst/>
        </c:spPr>
      </c:pivotFmt>
      <c:pivotFmt>
        <c:idx val="82"/>
        <c:spPr>
          <a:solidFill>
            <a:schemeClr val="accent1"/>
          </a:solidFill>
          <a:ln w="19050">
            <a:solidFill>
              <a:schemeClr val="lt1"/>
            </a:solidFill>
          </a:ln>
          <a:effectLst/>
        </c:spPr>
      </c:pivotFmt>
      <c:pivotFmt>
        <c:idx val="83"/>
        <c:spPr>
          <a:solidFill>
            <a:schemeClr val="accent1"/>
          </a:solidFill>
          <a:ln w="19050">
            <a:solidFill>
              <a:schemeClr val="lt1"/>
            </a:solidFill>
          </a:ln>
          <a:effectLst/>
        </c:spPr>
      </c:pivotFmt>
      <c:pivotFmt>
        <c:idx val="84"/>
        <c:spPr>
          <a:solidFill>
            <a:schemeClr val="accent1"/>
          </a:solidFill>
          <a:ln w="19050">
            <a:solidFill>
              <a:schemeClr val="lt1"/>
            </a:solidFill>
          </a:ln>
          <a:effectLst/>
        </c:spPr>
      </c:pivotFmt>
      <c:pivotFmt>
        <c:idx val="85"/>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6"/>
        <c:spPr>
          <a:solidFill>
            <a:schemeClr val="accent1"/>
          </a:solidFill>
          <a:ln w="19050">
            <a:solidFill>
              <a:schemeClr val="lt1"/>
            </a:solidFill>
          </a:ln>
          <a:effectLst/>
        </c:spPr>
      </c:pivotFmt>
      <c:pivotFmt>
        <c:idx val="87"/>
        <c:spPr>
          <a:solidFill>
            <a:schemeClr val="accent1"/>
          </a:solidFill>
          <a:ln w="19050">
            <a:solidFill>
              <a:schemeClr val="lt1"/>
            </a:solidFill>
          </a:ln>
          <a:effectLst/>
        </c:spPr>
      </c:pivotFmt>
      <c:pivotFmt>
        <c:idx val="88"/>
        <c:spPr>
          <a:solidFill>
            <a:schemeClr val="accent1"/>
          </a:solidFill>
          <a:ln w="19050">
            <a:solidFill>
              <a:schemeClr val="lt1"/>
            </a:solidFill>
          </a:ln>
          <a:effectLst/>
        </c:spPr>
      </c:pivotFmt>
      <c:pivotFmt>
        <c:idx val="89"/>
        <c:spPr>
          <a:solidFill>
            <a:schemeClr val="accent1"/>
          </a:solidFill>
          <a:ln w="19050">
            <a:solidFill>
              <a:schemeClr val="lt1"/>
            </a:solidFill>
          </a:ln>
          <a:effectLst/>
        </c:spPr>
      </c:pivotFmt>
      <c:pivotFmt>
        <c:idx val="90"/>
        <c:spPr>
          <a:solidFill>
            <a:schemeClr val="accent1"/>
          </a:solidFill>
          <a:ln w="19050">
            <a:solidFill>
              <a:schemeClr val="lt1"/>
            </a:solidFill>
          </a:ln>
          <a:effectLst/>
        </c:spPr>
      </c:pivotFmt>
      <c:pivotFmt>
        <c:idx val="91"/>
        <c:spPr>
          <a:solidFill>
            <a:schemeClr val="accent1"/>
          </a:solidFill>
          <a:ln w="19050">
            <a:solidFill>
              <a:schemeClr val="lt1"/>
            </a:solidFill>
          </a:ln>
          <a:effectLst/>
        </c:spPr>
      </c:pivotFmt>
      <c:pivotFmt>
        <c:idx val="92"/>
        <c:spPr>
          <a:solidFill>
            <a:schemeClr val="accent1"/>
          </a:solidFill>
          <a:ln w="19050">
            <a:solidFill>
              <a:schemeClr val="lt1"/>
            </a:solidFill>
          </a:ln>
          <a:effectLst/>
        </c:spPr>
      </c:pivotFmt>
      <c:pivotFmt>
        <c:idx val="93"/>
        <c:spPr>
          <a:solidFill>
            <a:schemeClr val="accent1"/>
          </a:solidFill>
          <a:ln w="19050">
            <a:solidFill>
              <a:schemeClr val="lt1"/>
            </a:solidFill>
          </a:ln>
          <a:effectLst/>
        </c:spPr>
      </c:pivotFmt>
      <c:pivotFmt>
        <c:idx val="94"/>
        <c:spPr>
          <a:solidFill>
            <a:schemeClr val="accent1"/>
          </a:solidFill>
          <a:ln w="19050">
            <a:solidFill>
              <a:schemeClr val="lt1"/>
            </a:solidFill>
          </a:ln>
          <a:effectLst/>
        </c:spPr>
      </c:pivotFmt>
      <c:pivotFmt>
        <c:idx val="95"/>
        <c:spPr>
          <a:solidFill>
            <a:schemeClr val="accent1"/>
          </a:solidFill>
          <a:ln w="19050">
            <a:solidFill>
              <a:schemeClr val="lt1"/>
            </a:solidFill>
          </a:ln>
          <a:effectLst/>
        </c:spPr>
      </c:pivotFmt>
      <c:pivotFmt>
        <c:idx val="96"/>
        <c:spPr>
          <a:solidFill>
            <a:schemeClr val="accent1"/>
          </a:solidFill>
          <a:ln w="19050">
            <a:solidFill>
              <a:schemeClr val="lt1"/>
            </a:solidFill>
          </a:ln>
          <a:effectLst/>
        </c:spPr>
      </c:pivotFmt>
      <c:pivotFmt>
        <c:idx val="97"/>
        <c:spPr>
          <a:solidFill>
            <a:schemeClr val="accent1"/>
          </a:solidFill>
          <a:ln w="19050">
            <a:solidFill>
              <a:schemeClr val="lt1"/>
            </a:solidFill>
          </a:ln>
          <a:effectLst/>
        </c:spPr>
      </c:pivotFmt>
      <c:pivotFmt>
        <c:idx val="98"/>
        <c:spPr>
          <a:solidFill>
            <a:schemeClr val="accent1"/>
          </a:solidFill>
          <a:ln w="19050">
            <a:solidFill>
              <a:schemeClr val="lt1"/>
            </a:solidFill>
          </a:ln>
          <a:effectLst>
            <a:outerShdw blurRad="50800" dist="50800" dir="5400000" algn="ctr" rotWithShape="0">
              <a:schemeClr val="tx2"/>
            </a:outerShdw>
            <a:softEdge rad="12700"/>
          </a:effectLst>
          <a:scene3d>
            <a:camera prst="orthographicFront"/>
            <a:lightRig rig="threePt" dir="t"/>
          </a:scene3d>
          <a:sp3d prstMaterial="dkEdge"/>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99"/>
        <c:spPr>
          <a:solidFill>
            <a:schemeClr val="accent1"/>
          </a:solidFill>
          <a:ln w="19050">
            <a:solidFill>
              <a:schemeClr val="lt1"/>
            </a:solidFill>
          </a:ln>
          <a:effectLst>
            <a:outerShdw blurRad="50800" dist="50800" dir="5400000" algn="ctr" rotWithShape="0">
              <a:schemeClr val="tx2"/>
            </a:outerShdw>
            <a:softEdge rad="12700"/>
          </a:effectLst>
          <a:scene3d>
            <a:camera prst="orthographicFront"/>
            <a:lightRig rig="threePt" dir="t"/>
          </a:scene3d>
          <a:sp3d prstMaterial="dkEdge"/>
        </c:spPr>
      </c:pivotFmt>
      <c:pivotFmt>
        <c:idx val="100"/>
        <c:spPr>
          <a:solidFill>
            <a:schemeClr val="accent1"/>
          </a:solidFill>
          <a:ln w="19050">
            <a:solidFill>
              <a:schemeClr val="lt1"/>
            </a:solidFill>
          </a:ln>
          <a:effectLst>
            <a:outerShdw blurRad="50800" dist="50800" dir="5400000" algn="ctr" rotWithShape="0">
              <a:schemeClr val="tx2"/>
            </a:outerShdw>
            <a:softEdge rad="12700"/>
          </a:effectLst>
          <a:scene3d>
            <a:camera prst="orthographicFront"/>
            <a:lightRig rig="threePt" dir="t"/>
          </a:scene3d>
          <a:sp3d prstMaterial="dkEdge"/>
        </c:spPr>
      </c:pivotFmt>
      <c:pivotFmt>
        <c:idx val="101"/>
        <c:spPr>
          <a:solidFill>
            <a:schemeClr val="accent1"/>
          </a:solidFill>
          <a:ln w="19050">
            <a:solidFill>
              <a:schemeClr val="lt1"/>
            </a:solidFill>
          </a:ln>
          <a:effectLst>
            <a:outerShdw blurRad="50800" dist="50800" dir="5400000" algn="ctr" rotWithShape="0">
              <a:schemeClr val="tx2"/>
            </a:outerShdw>
            <a:softEdge rad="12700"/>
          </a:effectLst>
          <a:scene3d>
            <a:camera prst="orthographicFront"/>
            <a:lightRig rig="threePt" dir="t"/>
          </a:scene3d>
          <a:sp3d prstMaterial="dkEdge"/>
        </c:spPr>
      </c:pivotFmt>
      <c:pivotFmt>
        <c:idx val="102"/>
        <c:spPr>
          <a:solidFill>
            <a:schemeClr val="accent1"/>
          </a:solidFill>
          <a:ln w="19050">
            <a:solidFill>
              <a:schemeClr val="lt1"/>
            </a:solidFill>
          </a:ln>
          <a:effectLst>
            <a:outerShdw blurRad="50800" dist="50800" dir="5400000" algn="ctr" rotWithShape="0">
              <a:schemeClr val="tx2"/>
            </a:outerShdw>
            <a:softEdge rad="12700"/>
          </a:effectLst>
          <a:scene3d>
            <a:camera prst="orthographicFront"/>
            <a:lightRig rig="threePt" dir="t"/>
          </a:scene3d>
          <a:sp3d prstMaterial="dkEdge"/>
        </c:spPr>
      </c:pivotFmt>
      <c:pivotFmt>
        <c:idx val="103"/>
        <c:spPr>
          <a:solidFill>
            <a:schemeClr val="accent1"/>
          </a:solidFill>
          <a:ln w="19050">
            <a:solidFill>
              <a:schemeClr val="lt1"/>
            </a:solidFill>
          </a:ln>
          <a:effectLst>
            <a:outerShdw blurRad="50800" dist="50800" dir="5400000" algn="ctr" rotWithShape="0">
              <a:schemeClr val="tx2"/>
            </a:outerShdw>
            <a:softEdge rad="12700"/>
          </a:effectLst>
          <a:scene3d>
            <a:camera prst="orthographicFront"/>
            <a:lightRig rig="threePt" dir="t"/>
          </a:scene3d>
          <a:sp3d prstMaterial="dkEdge"/>
        </c:spPr>
      </c:pivotFmt>
      <c:pivotFmt>
        <c:idx val="104"/>
        <c:spPr>
          <a:solidFill>
            <a:schemeClr val="accent1"/>
          </a:solidFill>
          <a:ln w="19050">
            <a:solidFill>
              <a:schemeClr val="lt1"/>
            </a:solidFill>
          </a:ln>
          <a:effectLst>
            <a:outerShdw blurRad="50800" dist="50800" dir="5400000" algn="ctr" rotWithShape="0">
              <a:schemeClr val="tx2"/>
            </a:outerShdw>
            <a:softEdge rad="12700"/>
          </a:effectLst>
          <a:scene3d>
            <a:camera prst="orthographicFront"/>
            <a:lightRig rig="threePt" dir="t"/>
          </a:scene3d>
          <a:sp3d prstMaterial="dkEdge"/>
        </c:spPr>
      </c:pivotFmt>
      <c:pivotFmt>
        <c:idx val="105"/>
        <c:spPr>
          <a:solidFill>
            <a:schemeClr val="accent1"/>
          </a:solidFill>
          <a:ln w="19050">
            <a:solidFill>
              <a:schemeClr val="lt1"/>
            </a:solidFill>
          </a:ln>
          <a:effectLst>
            <a:outerShdw blurRad="50800" dist="50800" dir="5400000" algn="ctr" rotWithShape="0">
              <a:schemeClr val="tx2"/>
            </a:outerShdw>
            <a:softEdge rad="12700"/>
          </a:effectLst>
          <a:scene3d>
            <a:camera prst="orthographicFront"/>
            <a:lightRig rig="threePt" dir="t"/>
          </a:scene3d>
          <a:sp3d prstMaterial="dkEdge"/>
        </c:spPr>
      </c:pivotFmt>
      <c:pivotFmt>
        <c:idx val="106"/>
        <c:spPr>
          <a:solidFill>
            <a:schemeClr val="accent1"/>
          </a:solidFill>
          <a:ln w="19050">
            <a:solidFill>
              <a:schemeClr val="lt1"/>
            </a:solidFill>
          </a:ln>
          <a:effectLst>
            <a:outerShdw blurRad="50800" dist="50800" dir="5400000" algn="ctr" rotWithShape="0">
              <a:schemeClr val="tx2"/>
            </a:outerShdw>
            <a:softEdge rad="12700"/>
          </a:effectLst>
          <a:scene3d>
            <a:camera prst="orthographicFront"/>
            <a:lightRig rig="threePt" dir="t"/>
          </a:scene3d>
          <a:sp3d prstMaterial="dkEdge"/>
        </c:spPr>
      </c:pivotFmt>
      <c:pivotFmt>
        <c:idx val="107"/>
        <c:spPr>
          <a:solidFill>
            <a:schemeClr val="accent1"/>
          </a:solidFill>
          <a:ln w="19050">
            <a:solidFill>
              <a:schemeClr val="lt1"/>
            </a:solidFill>
          </a:ln>
          <a:effectLst>
            <a:outerShdw blurRad="50800" dist="50800" dir="5400000" algn="ctr" rotWithShape="0">
              <a:schemeClr val="tx2"/>
            </a:outerShdw>
            <a:softEdge rad="12700"/>
          </a:effectLst>
          <a:scene3d>
            <a:camera prst="orthographicFront"/>
            <a:lightRig rig="threePt" dir="t"/>
          </a:scene3d>
          <a:sp3d prstMaterial="dkEdge"/>
        </c:spPr>
      </c:pivotFmt>
      <c:pivotFmt>
        <c:idx val="108"/>
        <c:spPr>
          <a:solidFill>
            <a:schemeClr val="accent1"/>
          </a:solidFill>
          <a:ln w="19050">
            <a:solidFill>
              <a:schemeClr val="lt1"/>
            </a:solidFill>
          </a:ln>
          <a:effectLst>
            <a:outerShdw blurRad="50800" dist="50800" dir="5400000" algn="ctr" rotWithShape="0">
              <a:schemeClr val="tx2"/>
            </a:outerShdw>
            <a:softEdge rad="12700"/>
          </a:effectLst>
          <a:scene3d>
            <a:camera prst="orthographicFront"/>
            <a:lightRig rig="threePt" dir="t"/>
          </a:scene3d>
          <a:sp3d prstMaterial="dkEdge"/>
        </c:spPr>
      </c:pivotFmt>
      <c:pivotFmt>
        <c:idx val="109"/>
        <c:spPr>
          <a:solidFill>
            <a:schemeClr val="accent1"/>
          </a:solidFill>
          <a:ln w="19050">
            <a:solidFill>
              <a:schemeClr val="lt1"/>
            </a:solidFill>
          </a:ln>
          <a:effectLst>
            <a:outerShdw blurRad="50800" dist="50800" dir="5400000" algn="ctr" rotWithShape="0">
              <a:schemeClr val="tx2"/>
            </a:outerShdw>
            <a:softEdge rad="12700"/>
          </a:effectLst>
          <a:scene3d>
            <a:camera prst="orthographicFront"/>
            <a:lightRig rig="threePt" dir="t"/>
          </a:scene3d>
          <a:sp3d prstMaterial="dkEdge"/>
        </c:spPr>
      </c:pivotFmt>
      <c:pivotFmt>
        <c:idx val="110"/>
        <c:spPr>
          <a:solidFill>
            <a:schemeClr val="accent1"/>
          </a:solidFill>
          <a:ln w="19050">
            <a:solidFill>
              <a:schemeClr val="lt1"/>
            </a:solidFill>
          </a:ln>
          <a:effectLst>
            <a:outerShdw blurRad="50800" dist="50800" dir="5400000" algn="ctr" rotWithShape="0">
              <a:schemeClr val="tx2"/>
            </a:outerShdw>
            <a:softEdge rad="12700"/>
          </a:effectLst>
          <a:scene3d>
            <a:camera prst="orthographicFront"/>
            <a:lightRig rig="threePt" dir="t"/>
          </a:scene3d>
          <a:sp3d prstMaterial="dkEdge"/>
        </c:spPr>
      </c:pivotFmt>
      <c:pivotFmt>
        <c:idx val="11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2"/>
        <c:spPr>
          <a:solidFill>
            <a:schemeClr val="accent1"/>
          </a:solidFill>
          <a:ln w="19050">
            <a:solidFill>
              <a:schemeClr val="lt1"/>
            </a:solidFill>
          </a:ln>
          <a:effectLst/>
        </c:spPr>
      </c:pivotFmt>
      <c:pivotFmt>
        <c:idx val="113"/>
        <c:spPr>
          <a:solidFill>
            <a:schemeClr val="accent1"/>
          </a:solidFill>
          <a:ln w="19050">
            <a:solidFill>
              <a:schemeClr val="lt1"/>
            </a:solidFill>
          </a:ln>
          <a:effectLst/>
        </c:spPr>
      </c:pivotFmt>
      <c:pivotFmt>
        <c:idx val="114"/>
        <c:spPr>
          <a:solidFill>
            <a:schemeClr val="accent1"/>
          </a:solidFill>
          <a:ln w="19050">
            <a:solidFill>
              <a:schemeClr val="lt1"/>
            </a:solidFill>
          </a:ln>
          <a:effectLst/>
        </c:spPr>
      </c:pivotFmt>
      <c:pivotFmt>
        <c:idx val="115"/>
        <c:spPr>
          <a:solidFill>
            <a:schemeClr val="accent1"/>
          </a:solidFill>
          <a:ln w="19050">
            <a:solidFill>
              <a:schemeClr val="lt1"/>
            </a:solidFill>
          </a:ln>
          <a:effectLst/>
        </c:spPr>
      </c:pivotFmt>
      <c:pivotFmt>
        <c:idx val="116"/>
        <c:spPr>
          <a:solidFill>
            <a:schemeClr val="accent1"/>
          </a:solidFill>
          <a:ln w="19050">
            <a:solidFill>
              <a:schemeClr val="lt1"/>
            </a:solidFill>
          </a:ln>
          <a:effectLst/>
        </c:spPr>
      </c:pivotFmt>
      <c:pivotFmt>
        <c:idx val="117"/>
        <c:spPr>
          <a:solidFill>
            <a:schemeClr val="accent1"/>
          </a:solidFill>
          <a:ln w="19050">
            <a:solidFill>
              <a:schemeClr val="lt1"/>
            </a:solidFill>
          </a:ln>
          <a:effectLst/>
        </c:spPr>
      </c:pivotFmt>
      <c:pivotFmt>
        <c:idx val="118"/>
        <c:spPr>
          <a:solidFill>
            <a:schemeClr val="accent1"/>
          </a:solidFill>
          <a:ln w="19050">
            <a:solidFill>
              <a:schemeClr val="lt1"/>
            </a:solidFill>
          </a:ln>
          <a:effectLst/>
        </c:spPr>
      </c:pivotFmt>
      <c:pivotFmt>
        <c:idx val="119"/>
        <c:spPr>
          <a:solidFill>
            <a:schemeClr val="accent1"/>
          </a:solidFill>
          <a:ln w="19050">
            <a:solidFill>
              <a:schemeClr val="lt1"/>
            </a:solidFill>
          </a:ln>
          <a:effectLst/>
        </c:spPr>
      </c:pivotFmt>
      <c:pivotFmt>
        <c:idx val="120"/>
        <c:spPr>
          <a:solidFill>
            <a:schemeClr val="accent1"/>
          </a:solidFill>
          <a:ln w="19050">
            <a:solidFill>
              <a:schemeClr val="lt1"/>
            </a:solidFill>
          </a:ln>
          <a:effectLst/>
        </c:spPr>
      </c:pivotFmt>
      <c:pivotFmt>
        <c:idx val="121"/>
        <c:spPr>
          <a:solidFill>
            <a:schemeClr val="accent1"/>
          </a:solidFill>
          <a:ln w="19050">
            <a:solidFill>
              <a:schemeClr val="lt1"/>
            </a:solidFill>
          </a:ln>
          <a:effectLst/>
        </c:spPr>
      </c:pivotFmt>
      <c:pivotFmt>
        <c:idx val="122"/>
        <c:spPr>
          <a:solidFill>
            <a:schemeClr val="accent1"/>
          </a:solidFill>
          <a:ln w="19050">
            <a:solidFill>
              <a:schemeClr val="lt1"/>
            </a:solidFill>
          </a:ln>
          <a:effectLst/>
        </c:spPr>
      </c:pivotFmt>
      <c:pivotFmt>
        <c:idx val="123"/>
        <c:spPr>
          <a:solidFill>
            <a:schemeClr val="accent1"/>
          </a:solidFill>
          <a:ln w="19050">
            <a:solidFill>
              <a:schemeClr val="lt1"/>
            </a:solidFill>
          </a:ln>
          <a:effectLst/>
        </c:spPr>
      </c:pivotFmt>
      <c:pivotFmt>
        <c:idx val="124"/>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5"/>
        <c:spPr>
          <a:solidFill>
            <a:schemeClr val="accent1"/>
          </a:solidFill>
          <a:ln w="19050">
            <a:solidFill>
              <a:schemeClr val="lt1"/>
            </a:solidFill>
          </a:ln>
          <a:effectLst/>
        </c:spPr>
      </c:pivotFmt>
      <c:pivotFmt>
        <c:idx val="126"/>
        <c:spPr>
          <a:solidFill>
            <a:schemeClr val="accent1"/>
          </a:solidFill>
          <a:ln w="19050">
            <a:solidFill>
              <a:schemeClr val="lt1"/>
            </a:solidFill>
          </a:ln>
          <a:effectLst/>
        </c:spPr>
      </c:pivotFmt>
      <c:pivotFmt>
        <c:idx val="127"/>
        <c:spPr>
          <a:solidFill>
            <a:schemeClr val="accent1"/>
          </a:solidFill>
          <a:ln w="19050">
            <a:solidFill>
              <a:schemeClr val="lt1"/>
            </a:solidFill>
          </a:ln>
          <a:effectLst/>
        </c:spPr>
      </c:pivotFmt>
      <c:pivotFmt>
        <c:idx val="128"/>
        <c:spPr>
          <a:solidFill>
            <a:schemeClr val="accent1"/>
          </a:solidFill>
          <a:ln w="19050">
            <a:solidFill>
              <a:schemeClr val="lt1"/>
            </a:solidFill>
          </a:ln>
          <a:effectLst/>
        </c:spPr>
      </c:pivotFmt>
      <c:pivotFmt>
        <c:idx val="129"/>
        <c:spPr>
          <a:solidFill>
            <a:schemeClr val="accent1"/>
          </a:solidFill>
          <a:ln w="19050">
            <a:solidFill>
              <a:schemeClr val="lt1"/>
            </a:solidFill>
          </a:ln>
          <a:effectLst/>
        </c:spPr>
      </c:pivotFmt>
      <c:pivotFmt>
        <c:idx val="130"/>
        <c:spPr>
          <a:solidFill>
            <a:schemeClr val="accent1"/>
          </a:solidFill>
          <a:ln w="19050">
            <a:solidFill>
              <a:schemeClr val="lt1"/>
            </a:solidFill>
          </a:ln>
          <a:effectLst/>
        </c:spPr>
      </c:pivotFmt>
      <c:pivotFmt>
        <c:idx val="131"/>
        <c:spPr>
          <a:solidFill>
            <a:schemeClr val="accent1"/>
          </a:solidFill>
          <a:ln w="19050">
            <a:solidFill>
              <a:schemeClr val="lt1"/>
            </a:solidFill>
          </a:ln>
          <a:effectLst/>
        </c:spPr>
      </c:pivotFmt>
      <c:pivotFmt>
        <c:idx val="132"/>
        <c:spPr>
          <a:solidFill>
            <a:schemeClr val="accent1"/>
          </a:solidFill>
          <a:ln w="19050">
            <a:solidFill>
              <a:schemeClr val="lt1"/>
            </a:solidFill>
          </a:ln>
          <a:effectLst/>
        </c:spPr>
      </c:pivotFmt>
      <c:pivotFmt>
        <c:idx val="133"/>
        <c:spPr>
          <a:solidFill>
            <a:schemeClr val="accent1"/>
          </a:solidFill>
          <a:ln w="19050">
            <a:solidFill>
              <a:schemeClr val="lt1"/>
            </a:solidFill>
          </a:ln>
          <a:effectLst/>
        </c:spPr>
      </c:pivotFmt>
      <c:pivotFmt>
        <c:idx val="134"/>
        <c:spPr>
          <a:solidFill>
            <a:schemeClr val="accent1"/>
          </a:solidFill>
          <a:ln w="19050">
            <a:solidFill>
              <a:schemeClr val="lt1"/>
            </a:solidFill>
          </a:ln>
          <a:effectLst/>
        </c:spPr>
      </c:pivotFmt>
      <c:pivotFmt>
        <c:idx val="135"/>
        <c:spPr>
          <a:solidFill>
            <a:schemeClr val="accent1"/>
          </a:solidFill>
          <a:ln w="19050">
            <a:solidFill>
              <a:schemeClr val="lt1"/>
            </a:solidFill>
          </a:ln>
          <a:effectLst/>
        </c:spPr>
      </c:pivotFmt>
      <c:pivotFmt>
        <c:idx val="136"/>
        <c:spPr>
          <a:solidFill>
            <a:schemeClr val="accent1"/>
          </a:solidFill>
          <a:ln w="19050">
            <a:solidFill>
              <a:schemeClr val="lt1"/>
            </a:solidFill>
          </a:ln>
          <a:effectLst/>
        </c:spPr>
      </c:pivotFmt>
      <c:pivotFmt>
        <c:idx val="137"/>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8"/>
        <c:spPr>
          <a:solidFill>
            <a:schemeClr val="accent1"/>
          </a:solidFill>
          <a:ln w="19050">
            <a:solidFill>
              <a:schemeClr val="lt1"/>
            </a:solidFill>
          </a:ln>
          <a:effectLst/>
        </c:spPr>
      </c:pivotFmt>
      <c:pivotFmt>
        <c:idx val="139"/>
        <c:spPr>
          <a:solidFill>
            <a:schemeClr val="accent1"/>
          </a:solidFill>
          <a:ln w="19050">
            <a:solidFill>
              <a:schemeClr val="lt1"/>
            </a:solidFill>
          </a:ln>
          <a:effectLst/>
        </c:spPr>
      </c:pivotFmt>
      <c:pivotFmt>
        <c:idx val="140"/>
        <c:spPr>
          <a:solidFill>
            <a:schemeClr val="accent1"/>
          </a:solidFill>
          <a:ln w="19050">
            <a:solidFill>
              <a:schemeClr val="lt1"/>
            </a:solidFill>
          </a:ln>
          <a:effectLst/>
        </c:spPr>
      </c:pivotFmt>
      <c:pivotFmt>
        <c:idx val="141"/>
        <c:spPr>
          <a:solidFill>
            <a:schemeClr val="accent1"/>
          </a:solidFill>
          <a:ln w="19050">
            <a:solidFill>
              <a:schemeClr val="lt1"/>
            </a:solidFill>
          </a:ln>
          <a:effectLst/>
        </c:spPr>
      </c:pivotFmt>
      <c:pivotFmt>
        <c:idx val="142"/>
        <c:spPr>
          <a:solidFill>
            <a:schemeClr val="accent1"/>
          </a:solidFill>
          <a:ln w="19050">
            <a:solidFill>
              <a:schemeClr val="lt1"/>
            </a:solidFill>
          </a:ln>
          <a:effectLst/>
        </c:spPr>
      </c:pivotFmt>
      <c:pivotFmt>
        <c:idx val="143"/>
        <c:spPr>
          <a:solidFill>
            <a:schemeClr val="accent1"/>
          </a:solidFill>
          <a:ln w="19050">
            <a:solidFill>
              <a:schemeClr val="lt1"/>
            </a:solidFill>
          </a:ln>
          <a:effectLst/>
        </c:spPr>
      </c:pivotFmt>
      <c:pivotFmt>
        <c:idx val="144"/>
        <c:spPr>
          <a:solidFill>
            <a:schemeClr val="accent1"/>
          </a:solidFill>
          <a:ln w="19050">
            <a:solidFill>
              <a:schemeClr val="lt1"/>
            </a:solidFill>
          </a:ln>
          <a:effectLst/>
        </c:spPr>
      </c:pivotFmt>
      <c:pivotFmt>
        <c:idx val="145"/>
        <c:spPr>
          <a:solidFill>
            <a:schemeClr val="accent1"/>
          </a:solidFill>
          <a:ln w="19050">
            <a:solidFill>
              <a:schemeClr val="lt1"/>
            </a:solidFill>
          </a:ln>
          <a:effectLst/>
        </c:spPr>
      </c:pivotFmt>
      <c:pivotFmt>
        <c:idx val="146"/>
        <c:spPr>
          <a:solidFill>
            <a:schemeClr val="accent1"/>
          </a:solidFill>
          <a:ln w="19050">
            <a:solidFill>
              <a:schemeClr val="lt1"/>
            </a:solidFill>
          </a:ln>
          <a:effectLst/>
        </c:spPr>
      </c:pivotFmt>
      <c:pivotFmt>
        <c:idx val="147"/>
        <c:spPr>
          <a:solidFill>
            <a:schemeClr val="accent1"/>
          </a:solidFill>
          <a:ln w="19050">
            <a:solidFill>
              <a:schemeClr val="lt1"/>
            </a:solidFill>
          </a:ln>
          <a:effectLst/>
        </c:spPr>
      </c:pivotFmt>
      <c:pivotFmt>
        <c:idx val="148"/>
        <c:spPr>
          <a:solidFill>
            <a:schemeClr val="accent1"/>
          </a:solidFill>
          <a:ln w="19050">
            <a:solidFill>
              <a:schemeClr val="lt1"/>
            </a:solidFill>
          </a:ln>
          <a:effectLst/>
        </c:spPr>
      </c:pivotFmt>
      <c:pivotFmt>
        <c:idx val="149"/>
        <c:spPr>
          <a:solidFill>
            <a:schemeClr val="accent1"/>
          </a:solidFill>
          <a:ln w="19050">
            <a:solidFill>
              <a:schemeClr val="lt1"/>
            </a:solidFill>
          </a:ln>
          <a:effectLst/>
        </c:spPr>
      </c:pivotFmt>
      <c:pivotFmt>
        <c:idx val="15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1"/>
        <c:spPr>
          <a:solidFill>
            <a:schemeClr val="accent1"/>
          </a:solidFill>
          <a:ln w="19050">
            <a:solidFill>
              <a:schemeClr val="lt1"/>
            </a:solidFill>
          </a:ln>
          <a:effectLst/>
        </c:spPr>
      </c:pivotFmt>
      <c:pivotFmt>
        <c:idx val="152"/>
        <c:spPr>
          <a:solidFill>
            <a:schemeClr val="accent1"/>
          </a:solidFill>
          <a:ln w="19050">
            <a:solidFill>
              <a:schemeClr val="lt1"/>
            </a:solidFill>
          </a:ln>
          <a:effectLst/>
        </c:spPr>
      </c:pivotFmt>
      <c:pivotFmt>
        <c:idx val="153"/>
        <c:spPr>
          <a:solidFill>
            <a:schemeClr val="accent1"/>
          </a:solidFill>
          <a:ln w="19050">
            <a:solidFill>
              <a:schemeClr val="lt1"/>
            </a:solidFill>
          </a:ln>
          <a:effectLst/>
        </c:spPr>
      </c:pivotFmt>
      <c:pivotFmt>
        <c:idx val="154"/>
        <c:spPr>
          <a:solidFill>
            <a:schemeClr val="accent1"/>
          </a:solidFill>
          <a:ln w="19050">
            <a:solidFill>
              <a:schemeClr val="lt1"/>
            </a:solidFill>
          </a:ln>
          <a:effectLst/>
        </c:spPr>
      </c:pivotFmt>
      <c:pivotFmt>
        <c:idx val="155"/>
        <c:spPr>
          <a:solidFill>
            <a:schemeClr val="accent1"/>
          </a:solidFill>
          <a:ln w="19050">
            <a:solidFill>
              <a:schemeClr val="lt1"/>
            </a:solidFill>
          </a:ln>
          <a:effectLst/>
        </c:spPr>
      </c:pivotFmt>
      <c:pivotFmt>
        <c:idx val="156"/>
        <c:spPr>
          <a:solidFill>
            <a:schemeClr val="accent1"/>
          </a:solidFill>
          <a:ln w="19050">
            <a:solidFill>
              <a:schemeClr val="lt1"/>
            </a:solidFill>
          </a:ln>
          <a:effectLst/>
        </c:spPr>
      </c:pivotFmt>
      <c:pivotFmt>
        <c:idx val="157"/>
        <c:spPr>
          <a:solidFill>
            <a:schemeClr val="accent1"/>
          </a:solidFill>
          <a:ln w="19050">
            <a:solidFill>
              <a:schemeClr val="lt1"/>
            </a:solidFill>
          </a:ln>
          <a:effectLst/>
        </c:spPr>
      </c:pivotFmt>
      <c:pivotFmt>
        <c:idx val="158"/>
        <c:spPr>
          <a:solidFill>
            <a:schemeClr val="accent1"/>
          </a:solidFill>
          <a:ln w="19050">
            <a:solidFill>
              <a:schemeClr val="lt1"/>
            </a:solidFill>
          </a:ln>
          <a:effectLst/>
        </c:spPr>
      </c:pivotFmt>
      <c:pivotFmt>
        <c:idx val="159"/>
        <c:spPr>
          <a:solidFill>
            <a:schemeClr val="accent1"/>
          </a:solidFill>
          <a:ln w="19050">
            <a:solidFill>
              <a:schemeClr val="lt1"/>
            </a:solidFill>
          </a:ln>
          <a:effectLst/>
        </c:spPr>
      </c:pivotFmt>
      <c:pivotFmt>
        <c:idx val="160"/>
        <c:spPr>
          <a:solidFill>
            <a:schemeClr val="accent1"/>
          </a:solidFill>
          <a:ln w="19050">
            <a:solidFill>
              <a:schemeClr val="lt1"/>
            </a:solidFill>
          </a:ln>
          <a:effectLst/>
        </c:spPr>
      </c:pivotFmt>
      <c:pivotFmt>
        <c:idx val="161"/>
        <c:spPr>
          <a:solidFill>
            <a:schemeClr val="accent1"/>
          </a:solidFill>
          <a:ln w="19050">
            <a:solidFill>
              <a:schemeClr val="lt1"/>
            </a:solidFill>
          </a:ln>
          <a:effectLst/>
        </c:spPr>
      </c:pivotFmt>
      <c:pivotFmt>
        <c:idx val="162"/>
        <c:spPr>
          <a:solidFill>
            <a:schemeClr val="accent1"/>
          </a:solidFill>
          <a:ln w="19050">
            <a:solidFill>
              <a:schemeClr val="lt1"/>
            </a:solidFill>
          </a:ln>
          <a:effectLst/>
        </c:spPr>
      </c:pivotFmt>
      <c:pivotFmt>
        <c:idx val="163"/>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64"/>
        <c:spPr>
          <a:solidFill>
            <a:schemeClr val="accent1"/>
          </a:solidFill>
          <a:ln w="19050">
            <a:solidFill>
              <a:schemeClr val="lt1"/>
            </a:solidFill>
          </a:ln>
          <a:effectLst/>
        </c:spPr>
      </c:pivotFmt>
      <c:pivotFmt>
        <c:idx val="165"/>
        <c:spPr>
          <a:solidFill>
            <a:schemeClr val="accent1"/>
          </a:solidFill>
          <a:ln w="19050">
            <a:solidFill>
              <a:schemeClr val="lt1"/>
            </a:solidFill>
          </a:ln>
          <a:effectLst/>
        </c:spPr>
      </c:pivotFmt>
      <c:pivotFmt>
        <c:idx val="166"/>
        <c:spPr>
          <a:solidFill>
            <a:schemeClr val="accent1"/>
          </a:solidFill>
          <a:ln w="19050">
            <a:solidFill>
              <a:schemeClr val="lt1"/>
            </a:solidFill>
          </a:ln>
          <a:effectLst/>
        </c:spPr>
      </c:pivotFmt>
      <c:pivotFmt>
        <c:idx val="167"/>
        <c:spPr>
          <a:solidFill>
            <a:schemeClr val="accent1"/>
          </a:solidFill>
          <a:ln w="19050">
            <a:solidFill>
              <a:schemeClr val="lt1"/>
            </a:solidFill>
          </a:ln>
          <a:effectLst/>
        </c:spPr>
      </c:pivotFmt>
      <c:pivotFmt>
        <c:idx val="168"/>
        <c:spPr>
          <a:solidFill>
            <a:schemeClr val="accent1"/>
          </a:solidFill>
          <a:ln w="19050">
            <a:solidFill>
              <a:schemeClr val="lt1"/>
            </a:solidFill>
          </a:ln>
          <a:effectLst/>
        </c:spPr>
      </c:pivotFmt>
      <c:pivotFmt>
        <c:idx val="169"/>
        <c:spPr>
          <a:solidFill>
            <a:schemeClr val="accent1"/>
          </a:solidFill>
          <a:ln w="19050">
            <a:solidFill>
              <a:schemeClr val="lt1"/>
            </a:solidFill>
          </a:ln>
          <a:effectLst/>
        </c:spPr>
      </c:pivotFmt>
      <c:pivotFmt>
        <c:idx val="170"/>
        <c:spPr>
          <a:solidFill>
            <a:schemeClr val="accent1"/>
          </a:solidFill>
          <a:ln w="19050">
            <a:solidFill>
              <a:schemeClr val="lt1"/>
            </a:solidFill>
          </a:ln>
          <a:effectLst/>
        </c:spPr>
      </c:pivotFmt>
      <c:pivotFmt>
        <c:idx val="171"/>
        <c:spPr>
          <a:solidFill>
            <a:schemeClr val="accent1"/>
          </a:solidFill>
          <a:ln w="19050">
            <a:solidFill>
              <a:schemeClr val="lt1"/>
            </a:solidFill>
          </a:ln>
          <a:effectLst/>
        </c:spPr>
      </c:pivotFmt>
      <c:pivotFmt>
        <c:idx val="172"/>
        <c:spPr>
          <a:solidFill>
            <a:schemeClr val="accent1"/>
          </a:solidFill>
          <a:ln w="19050">
            <a:solidFill>
              <a:schemeClr val="lt1"/>
            </a:solidFill>
          </a:ln>
          <a:effectLst/>
        </c:spPr>
      </c:pivotFmt>
      <c:pivotFmt>
        <c:idx val="173"/>
        <c:spPr>
          <a:solidFill>
            <a:schemeClr val="accent1"/>
          </a:solidFill>
          <a:ln w="19050">
            <a:solidFill>
              <a:schemeClr val="lt1"/>
            </a:solidFill>
          </a:ln>
          <a:effectLst/>
        </c:spPr>
      </c:pivotFmt>
      <c:pivotFmt>
        <c:idx val="174"/>
        <c:spPr>
          <a:solidFill>
            <a:schemeClr val="accent1"/>
          </a:solidFill>
          <a:ln w="19050">
            <a:solidFill>
              <a:schemeClr val="lt1"/>
            </a:solidFill>
          </a:ln>
          <a:effectLst/>
        </c:spPr>
      </c:pivotFmt>
      <c:pivotFmt>
        <c:idx val="175"/>
        <c:spPr>
          <a:solidFill>
            <a:schemeClr val="accent1"/>
          </a:solidFill>
          <a:ln w="19050">
            <a:solidFill>
              <a:schemeClr val="lt1"/>
            </a:solidFill>
          </a:ln>
          <a:effectLst/>
        </c:spPr>
      </c:pivotFmt>
      <c:pivotFmt>
        <c:idx val="176"/>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77"/>
        <c:spPr>
          <a:solidFill>
            <a:schemeClr val="accent1"/>
          </a:solidFill>
          <a:ln w="19050">
            <a:solidFill>
              <a:schemeClr val="lt1"/>
            </a:solidFill>
          </a:ln>
          <a:effectLst/>
        </c:spPr>
      </c:pivotFmt>
      <c:pivotFmt>
        <c:idx val="178"/>
        <c:spPr>
          <a:solidFill>
            <a:schemeClr val="accent1"/>
          </a:solidFill>
          <a:ln w="19050">
            <a:solidFill>
              <a:schemeClr val="lt1"/>
            </a:solidFill>
          </a:ln>
          <a:effectLst/>
        </c:spPr>
      </c:pivotFmt>
      <c:pivotFmt>
        <c:idx val="179"/>
        <c:spPr>
          <a:solidFill>
            <a:schemeClr val="accent1"/>
          </a:solidFill>
          <a:ln w="19050">
            <a:solidFill>
              <a:schemeClr val="lt1"/>
            </a:solidFill>
          </a:ln>
          <a:effectLst/>
        </c:spPr>
      </c:pivotFmt>
      <c:pivotFmt>
        <c:idx val="180"/>
        <c:spPr>
          <a:solidFill>
            <a:schemeClr val="accent1"/>
          </a:solidFill>
          <a:ln w="19050">
            <a:solidFill>
              <a:schemeClr val="lt1"/>
            </a:solidFill>
          </a:ln>
          <a:effectLst/>
        </c:spPr>
      </c:pivotFmt>
      <c:pivotFmt>
        <c:idx val="181"/>
        <c:spPr>
          <a:solidFill>
            <a:schemeClr val="accent1"/>
          </a:solidFill>
          <a:ln w="19050">
            <a:solidFill>
              <a:schemeClr val="lt1"/>
            </a:solidFill>
          </a:ln>
          <a:effectLst/>
        </c:spPr>
      </c:pivotFmt>
      <c:pivotFmt>
        <c:idx val="182"/>
        <c:spPr>
          <a:solidFill>
            <a:schemeClr val="accent1"/>
          </a:solidFill>
          <a:ln w="19050">
            <a:solidFill>
              <a:schemeClr val="lt1"/>
            </a:solidFill>
          </a:ln>
          <a:effectLst/>
        </c:spPr>
      </c:pivotFmt>
      <c:pivotFmt>
        <c:idx val="183"/>
        <c:spPr>
          <a:solidFill>
            <a:schemeClr val="accent1"/>
          </a:solidFill>
          <a:ln w="19050">
            <a:solidFill>
              <a:schemeClr val="lt1"/>
            </a:solidFill>
          </a:ln>
          <a:effectLst/>
        </c:spPr>
      </c:pivotFmt>
      <c:pivotFmt>
        <c:idx val="184"/>
        <c:spPr>
          <a:solidFill>
            <a:schemeClr val="accent1"/>
          </a:solidFill>
          <a:ln w="19050">
            <a:solidFill>
              <a:schemeClr val="lt1"/>
            </a:solidFill>
          </a:ln>
          <a:effectLst/>
        </c:spPr>
      </c:pivotFmt>
      <c:pivotFmt>
        <c:idx val="185"/>
        <c:spPr>
          <a:solidFill>
            <a:schemeClr val="accent1"/>
          </a:solidFill>
          <a:ln w="19050">
            <a:solidFill>
              <a:schemeClr val="lt1"/>
            </a:solidFill>
          </a:ln>
          <a:effectLst/>
        </c:spPr>
      </c:pivotFmt>
      <c:pivotFmt>
        <c:idx val="186"/>
        <c:spPr>
          <a:solidFill>
            <a:schemeClr val="accent1"/>
          </a:solidFill>
          <a:ln w="19050">
            <a:solidFill>
              <a:schemeClr val="lt1"/>
            </a:solidFill>
          </a:ln>
          <a:effectLst/>
        </c:spPr>
      </c:pivotFmt>
      <c:pivotFmt>
        <c:idx val="187"/>
        <c:spPr>
          <a:solidFill>
            <a:schemeClr val="accent1"/>
          </a:solidFill>
          <a:ln w="19050">
            <a:solidFill>
              <a:schemeClr val="lt1"/>
            </a:solidFill>
          </a:ln>
          <a:effectLst/>
        </c:spPr>
      </c:pivotFmt>
      <c:pivotFmt>
        <c:idx val="188"/>
        <c:spPr>
          <a:solidFill>
            <a:schemeClr val="accent1"/>
          </a:solidFill>
          <a:ln w="19050">
            <a:solidFill>
              <a:schemeClr val="lt1"/>
            </a:solidFill>
          </a:ln>
          <a:effectLst/>
        </c:spPr>
      </c:pivotFmt>
    </c:pivotFmts>
    <c:plotArea>
      <c:layout/>
      <c:pieChart>
        <c:varyColors val="1"/>
        <c:ser>
          <c:idx val="0"/>
          <c:order val="0"/>
          <c:tx>
            <c:strRef>
              <c:f>Sheet1!$W$190:$W$191</c:f>
              <c:strCache>
                <c:ptCount val="1"/>
                <c:pt idx="0">
                  <c:v>Beauty</c:v>
                </c:pt>
              </c:strCache>
            </c:strRef>
          </c:tx>
          <c:spPr>
            <a:effectLst>
              <a:outerShdw blurRad="50800" dist="50800" dir="5400000" algn="ctr" rotWithShape="0">
                <a:schemeClr val="tx2"/>
              </a:outerShdw>
              <a:softEdge rad="12700"/>
            </a:effectLst>
            <a:scene3d>
              <a:camera prst="orthographicFront"/>
              <a:lightRig rig="threePt" dir="t"/>
            </a:scene3d>
            <a:sp3d prstMaterial="dkEdge"/>
          </c:spPr>
          <c:dPt>
            <c:idx val="0"/>
            <c:bubble3D val="0"/>
            <c:spPr>
              <a:solidFill>
                <a:schemeClr val="accent1">
                  <a:tint val="41000"/>
                </a:schemeClr>
              </a:solidFill>
              <a:ln w="19050">
                <a:solidFill>
                  <a:schemeClr val="lt1"/>
                </a:solidFill>
              </a:ln>
              <a:effectLst>
                <a:outerShdw blurRad="50800" dist="50800" dir="5400000" algn="ctr" rotWithShape="0">
                  <a:schemeClr val="tx2"/>
                </a:outerShdw>
                <a:softEdge rad="12700"/>
              </a:effectLst>
              <a:scene3d>
                <a:camera prst="orthographicFront"/>
                <a:lightRig rig="threePt" dir="t"/>
              </a:scene3d>
              <a:sp3d prstMaterial="dkEdge"/>
            </c:spPr>
            <c:extLst>
              <c:ext xmlns:c16="http://schemas.microsoft.com/office/drawing/2014/chart" uri="{C3380CC4-5D6E-409C-BE32-E72D297353CC}">
                <c16:uniqueId val="{00000001-32DD-4B46-ADBC-B7C1200C092C}"/>
              </c:ext>
            </c:extLst>
          </c:dPt>
          <c:dPt>
            <c:idx val="1"/>
            <c:bubble3D val="0"/>
            <c:spPr>
              <a:solidFill>
                <a:schemeClr val="accent1">
                  <a:tint val="52000"/>
                </a:schemeClr>
              </a:solidFill>
              <a:ln w="19050">
                <a:solidFill>
                  <a:schemeClr val="lt1"/>
                </a:solidFill>
              </a:ln>
              <a:effectLst>
                <a:outerShdw blurRad="50800" dist="50800" dir="5400000" algn="ctr" rotWithShape="0">
                  <a:schemeClr val="tx2"/>
                </a:outerShdw>
                <a:softEdge rad="12700"/>
              </a:effectLst>
              <a:scene3d>
                <a:camera prst="orthographicFront"/>
                <a:lightRig rig="threePt" dir="t"/>
              </a:scene3d>
              <a:sp3d prstMaterial="dkEdge"/>
            </c:spPr>
            <c:extLst>
              <c:ext xmlns:c16="http://schemas.microsoft.com/office/drawing/2014/chart" uri="{C3380CC4-5D6E-409C-BE32-E72D297353CC}">
                <c16:uniqueId val="{00000003-32DD-4B46-ADBC-B7C1200C092C}"/>
              </c:ext>
            </c:extLst>
          </c:dPt>
          <c:dPt>
            <c:idx val="2"/>
            <c:bubble3D val="0"/>
            <c:spPr>
              <a:solidFill>
                <a:schemeClr val="accent1">
                  <a:tint val="63000"/>
                </a:schemeClr>
              </a:solidFill>
              <a:ln w="19050">
                <a:solidFill>
                  <a:schemeClr val="lt1"/>
                </a:solidFill>
              </a:ln>
              <a:effectLst>
                <a:outerShdw blurRad="50800" dist="50800" dir="5400000" algn="ctr" rotWithShape="0">
                  <a:schemeClr val="tx2"/>
                </a:outerShdw>
                <a:softEdge rad="12700"/>
              </a:effectLst>
              <a:scene3d>
                <a:camera prst="orthographicFront"/>
                <a:lightRig rig="threePt" dir="t"/>
              </a:scene3d>
              <a:sp3d prstMaterial="dkEdge"/>
            </c:spPr>
            <c:extLst>
              <c:ext xmlns:c16="http://schemas.microsoft.com/office/drawing/2014/chart" uri="{C3380CC4-5D6E-409C-BE32-E72D297353CC}">
                <c16:uniqueId val="{00000005-32DD-4B46-ADBC-B7C1200C092C}"/>
              </c:ext>
            </c:extLst>
          </c:dPt>
          <c:dPt>
            <c:idx val="3"/>
            <c:bubble3D val="0"/>
            <c:spPr>
              <a:solidFill>
                <a:schemeClr val="accent1">
                  <a:tint val="74000"/>
                </a:schemeClr>
              </a:solidFill>
              <a:ln w="19050">
                <a:solidFill>
                  <a:schemeClr val="lt1"/>
                </a:solidFill>
              </a:ln>
              <a:effectLst>
                <a:outerShdw blurRad="50800" dist="50800" dir="5400000" algn="ctr" rotWithShape="0">
                  <a:schemeClr val="tx2"/>
                </a:outerShdw>
                <a:softEdge rad="12700"/>
              </a:effectLst>
              <a:scene3d>
                <a:camera prst="orthographicFront"/>
                <a:lightRig rig="threePt" dir="t"/>
              </a:scene3d>
              <a:sp3d prstMaterial="dkEdge"/>
            </c:spPr>
            <c:extLst>
              <c:ext xmlns:c16="http://schemas.microsoft.com/office/drawing/2014/chart" uri="{C3380CC4-5D6E-409C-BE32-E72D297353CC}">
                <c16:uniqueId val="{00000007-32DD-4B46-ADBC-B7C1200C092C}"/>
              </c:ext>
            </c:extLst>
          </c:dPt>
          <c:dPt>
            <c:idx val="4"/>
            <c:bubble3D val="0"/>
            <c:spPr>
              <a:solidFill>
                <a:schemeClr val="accent1">
                  <a:tint val="84000"/>
                </a:schemeClr>
              </a:solidFill>
              <a:ln w="19050">
                <a:solidFill>
                  <a:schemeClr val="lt1"/>
                </a:solidFill>
              </a:ln>
              <a:effectLst>
                <a:outerShdw blurRad="50800" dist="50800" dir="5400000" algn="ctr" rotWithShape="0">
                  <a:schemeClr val="tx2"/>
                </a:outerShdw>
                <a:softEdge rad="12700"/>
              </a:effectLst>
              <a:scene3d>
                <a:camera prst="orthographicFront"/>
                <a:lightRig rig="threePt" dir="t"/>
              </a:scene3d>
              <a:sp3d prstMaterial="dkEdge"/>
            </c:spPr>
            <c:extLst>
              <c:ext xmlns:c16="http://schemas.microsoft.com/office/drawing/2014/chart" uri="{C3380CC4-5D6E-409C-BE32-E72D297353CC}">
                <c16:uniqueId val="{00000009-32DD-4B46-ADBC-B7C1200C092C}"/>
              </c:ext>
            </c:extLst>
          </c:dPt>
          <c:dPt>
            <c:idx val="5"/>
            <c:bubble3D val="0"/>
            <c:spPr>
              <a:solidFill>
                <a:schemeClr val="accent1">
                  <a:tint val="95000"/>
                </a:schemeClr>
              </a:solidFill>
              <a:ln w="19050">
                <a:solidFill>
                  <a:schemeClr val="lt1"/>
                </a:solidFill>
              </a:ln>
              <a:effectLst>
                <a:outerShdw blurRad="50800" dist="50800" dir="5400000" algn="ctr" rotWithShape="0">
                  <a:schemeClr val="tx2"/>
                </a:outerShdw>
                <a:softEdge rad="12700"/>
              </a:effectLst>
              <a:scene3d>
                <a:camera prst="orthographicFront"/>
                <a:lightRig rig="threePt" dir="t"/>
              </a:scene3d>
              <a:sp3d prstMaterial="dkEdge"/>
            </c:spPr>
            <c:extLst>
              <c:ext xmlns:c16="http://schemas.microsoft.com/office/drawing/2014/chart" uri="{C3380CC4-5D6E-409C-BE32-E72D297353CC}">
                <c16:uniqueId val="{0000000B-32DD-4B46-ADBC-B7C1200C092C}"/>
              </c:ext>
            </c:extLst>
          </c:dPt>
          <c:dPt>
            <c:idx val="6"/>
            <c:bubble3D val="0"/>
            <c:spPr>
              <a:solidFill>
                <a:schemeClr val="accent1">
                  <a:shade val="94000"/>
                </a:schemeClr>
              </a:solidFill>
              <a:ln w="19050">
                <a:solidFill>
                  <a:schemeClr val="lt1"/>
                </a:solidFill>
              </a:ln>
              <a:effectLst>
                <a:outerShdw blurRad="50800" dist="50800" dir="5400000" algn="ctr" rotWithShape="0">
                  <a:schemeClr val="tx2"/>
                </a:outerShdw>
                <a:softEdge rad="12700"/>
              </a:effectLst>
              <a:scene3d>
                <a:camera prst="orthographicFront"/>
                <a:lightRig rig="threePt" dir="t"/>
              </a:scene3d>
              <a:sp3d prstMaterial="dkEdge"/>
            </c:spPr>
            <c:extLst>
              <c:ext xmlns:c16="http://schemas.microsoft.com/office/drawing/2014/chart" uri="{C3380CC4-5D6E-409C-BE32-E72D297353CC}">
                <c16:uniqueId val="{0000000D-32DD-4B46-ADBC-B7C1200C092C}"/>
              </c:ext>
            </c:extLst>
          </c:dPt>
          <c:dPt>
            <c:idx val="7"/>
            <c:bubble3D val="0"/>
            <c:spPr>
              <a:solidFill>
                <a:schemeClr val="accent1">
                  <a:shade val="83000"/>
                </a:schemeClr>
              </a:solidFill>
              <a:ln w="19050">
                <a:solidFill>
                  <a:schemeClr val="lt1"/>
                </a:solidFill>
              </a:ln>
              <a:effectLst>
                <a:outerShdw blurRad="50800" dist="50800" dir="5400000" algn="ctr" rotWithShape="0">
                  <a:schemeClr val="tx2"/>
                </a:outerShdw>
                <a:softEdge rad="12700"/>
              </a:effectLst>
              <a:scene3d>
                <a:camera prst="orthographicFront"/>
                <a:lightRig rig="threePt" dir="t"/>
              </a:scene3d>
              <a:sp3d prstMaterial="dkEdge"/>
            </c:spPr>
            <c:extLst>
              <c:ext xmlns:c16="http://schemas.microsoft.com/office/drawing/2014/chart" uri="{C3380CC4-5D6E-409C-BE32-E72D297353CC}">
                <c16:uniqueId val="{0000000F-32DD-4B46-ADBC-B7C1200C092C}"/>
              </c:ext>
            </c:extLst>
          </c:dPt>
          <c:dPt>
            <c:idx val="8"/>
            <c:bubble3D val="0"/>
            <c:spPr>
              <a:solidFill>
                <a:schemeClr val="accent1">
                  <a:shade val="73000"/>
                </a:schemeClr>
              </a:solidFill>
              <a:ln w="19050">
                <a:solidFill>
                  <a:schemeClr val="lt1"/>
                </a:solidFill>
              </a:ln>
              <a:effectLst>
                <a:outerShdw blurRad="50800" dist="50800" dir="5400000" algn="ctr" rotWithShape="0">
                  <a:schemeClr val="tx2"/>
                </a:outerShdw>
                <a:softEdge rad="12700"/>
              </a:effectLst>
              <a:scene3d>
                <a:camera prst="orthographicFront"/>
                <a:lightRig rig="threePt" dir="t"/>
              </a:scene3d>
              <a:sp3d prstMaterial="dkEdge"/>
            </c:spPr>
            <c:extLst>
              <c:ext xmlns:c16="http://schemas.microsoft.com/office/drawing/2014/chart" uri="{C3380CC4-5D6E-409C-BE32-E72D297353CC}">
                <c16:uniqueId val="{00000011-32DD-4B46-ADBC-B7C1200C092C}"/>
              </c:ext>
            </c:extLst>
          </c:dPt>
          <c:dPt>
            <c:idx val="9"/>
            <c:bubble3D val="0"/>
            <c:spPr>
              <a:solidFill>
                <a:schemeClr val="accent1">
                  <a:shade val="62000"/>
                </a:schemeClr>
              </a:solidFill>
              <a:ln w="19050">
                <a:solidFill>
                  <a:schemeClr val="lt1"/>
                </a:solidFill>
              </a:ln>
              <a:effectLst>
                <a:outerShdw blurRad="50800" dist="50800" dir="5400000" algn="ctr" rotWithShape="0">
                  <a:schemeClr val="tx2"/>
                </a:outerShdw>
                <a:softEdge rad="12700"/>
              </a:effectLst>
              <a:scene3d>
                <a:camera prst="orthographicFront"/>
                <a:lightRig rig="threePt" dir="t"/>
              </a:scene3d>
              <a:sp3d prstMaterial="dkEdge"/>
            </c:spPr>
            <c:extLst>
              <c:ext xmlns:c16="http://schemas.microsoft.com/office/drawing/2014/chart" uri="{C3380CC4-5D6E-409C-BE32-E72D297353CC}">
                <c16:uniqueId val="{00000013-32DD-4B46-ADBC-B7C1200C092C}"/>
              </c:ext>
            </c:extLst>
          </c:dPt>
          <c:dPt>
            <c:idx val="10"/>
            <c:bubble3D val="0"/>
            <c:spPr>
              <a:solidFill>
                <a:schemeClr val="accent1">
                  <a:shade val="51000"/>
                </a:schemeClr>
              </a:solidFill>
              <a:ln w="19050">
                <a:solidFill>
                  <a:schemeClr val="lt1"/>
                </a:solidFill>
              </a:ln>
              <a:effectLst>
                <a:outerShdw blurRad="50800" dist="50800" dir="5400000" algn="ctr" rotWithShape="0">
                  <a:schemeClr val="tx2"/>
                </a:outerShdw>
                <a:softEdge rad="12700"/>
              </a:effectLst>
              <a:scene3d>
                <a:camera prst="orthographicFront"/>
                <a:lightRig rig="threePt" dir="t"/>
              </a:scene3d>
              <a:sp3d prstMaterial="dkEdge"/>
            </c:spPr>
            <c:extLst>
              <c:ext xmlns:c16="http://schemas.microsoft.com/office/drawing/2014/chart" uri="{C3380CC4-5D6E-409C-BE32-E72D297353CC}">
                <c16:uniqueId val="{00000015-32DD-4B46-ADBC-B7C1200C092C}"/>
              </c:ext>
            </c:extLst>
          </c:dPt>
          <c:dPt>
            <c:idx val="11"/>
            <c:bubble3D val="0"/>
            <c:spPr>
              <a:solidFill>
                <a:schemeClr val="accent1">
                  <a:shade val="40000"/>
                </a:schemeClr>
              </a:solidFill>
              <a:ln w="19050">
                <a:solidFill>
                  <a:schemeClr val="lt1"/>
                </a:solidFill>
              </a:ln>
              <a:effectLst>
                <a:outerShdw blurRad="50800" dist="50800" dir="5400000" algn="ctr" rotWithShape="0">
                  <a:schemeClr val="tx2"/>
                </a:outerShdw>
                <a:softEdge rad="12700"/>
              </a:effectLst>
              <a:scene3d>
                <a:camera prst="orthographicFront"/>
                <a:lightRig rig="threePt" dir="t"/>
              </a:scene3d>
              <a:sp3d prstMaterial="dkEdge"/>
            </c:spPr>
            <c:extLst>
              <c:ext xmlns:c16="http://schemas.microsoft.com/office/drawing/2014/chart" uri="{C3380CC4-5D6E-409C-BE32-E72D297353CC}">
                <c16:uniqueId val="{00000017-32DD-4B46-ADBC-B7C1200C092C}"/>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multiLvlStrRef>
              <c:f>Sheet1!$V$192:$V$208</c:f>
              <c:multiLvlStrCache>
                <c:ptCount val="12"/>
                <c:lvl>
                  <c:pt idx="0">
                    <c:v>Female</c:v>
                  </c:pt>
                  <c:pt idx="1">
                    <c:v>Male</c:v>
                  </c:pt>
                  <c:pt idx="2">
                    <c:v>Other</c:v>
                  </c:pt>
                  <c:pt idx="3">
                    <c:v>Female</c:v>
                  </c:pt>
                  <c:pt idx="4">
                    <c:v>Male</c:v>
                  </c:pt>
                  <c:pt idx="5">
                    <c:v>Other</c:v>
                  </c:pt>
                  <c:pt idx="6">
                    <c:v>Female</c:v>
                  </c:pt>
                  <c:pt idx="7">
                    <c:v>Male</c:v>
                  </c:pt>
                  <c:pt idx="8">
                    <c:v>Other</c:v>
                  </c:pt>
                  <c:pt idx="9">
                    <c:v>Female</c:v>
                  </c:pt>
                  <c:pt idx="10">
                    <c:v>Male</c:v>
                  </c:pt>
                  <c:pt idx="11">
                    <c:v>Other</c:v>
                  </c:pt>
                </c:lvl>
                <c:lvl>
                  <c:pt idx="0">
                    <c:v>East</c:v>
                  </c:pt>
                  <c:pt idx="3">
                    <c:v>North</c:v>
                  </c:pt>
                  <c:pt idx="6">
                    <c:v>South</c:v>
                  </c:pt>
                  <c:pt idx="9">
                    <c:v>West</c:v>
                  </c:pt>
                </c:lvl>
              </c:multiLvlStrCache>
            </c:multiLvlStrRef>
          </c:cat>
          <c:val>
            <c:numRef>
              <c:f>Sheet1!$W$192:$W$208</c:f>
              <c:numCache>
                <c:formatCode>0.00</c:formatCode>
                <c:ptCount val="12"/>
                <c:pt idx="1">
                  <c:v>3200</c:v>
                </c:pt>
                <c:pt idx="5">
                  <c:v>14600</c:v>
                </c:pt>
                <c:pt idx="6">
                  <c:v>2800</c:v>
                </c:pt>
                <c:pt idx="8">
                  <c:v>3400</c:v>
                </c:pt>
                <c:pt idx="9">
                  <c:v>2800</c:v>
                </c:pt>
                <c:pt idx="11">
                  <c:v>3100</c:v>
                </c:pt>
              </c:numCache>
            </c:numRef>
          </c:val>
          <c:extLst>
            <c:ext xmlns:c16="http://schemas.microsoft.com/office/drawing/2014/chart" uri="{C3380CC4-5D6E-409C-BE32-E72D297353CC}">
              <c16:uniqueId val="{00000018-32DD-4B46-ADBC-B7C1200C092C}"/>
            </c:ext>
          </c:extLst>
        </c:ser>
        <c:ser>
          <c:idx val="1"/>
          <c:order val="1"/>
          <c:tx>
            <c:strRef>
              <c:f>Sheet1!$X$190:$X$191</c:f>
              <c:strCache>
                <c:ptCount val="1"/>
                <c:pt idx="0">
                  <c:v>Books</c:v>
                </c:pt>
              </c:strCache>
            </c:strRef>
          </c:tx>
          <c:dPt>
            <c:idx val="0"/>
            <c:bubble3D val="0"/>
            <c:spPr>
              <a:solidFill>
                <a:schemeClr val="accent1">
                  <a:tint val="41000"/>
                </a:schemeClr>
              </a:solidFill>
              <a:ln w="19050">
                <a:solidFill>
                  <a:schemeClr val="lt1"/>
                </a:solidFill>
              </a:ln>
              <a:effectLst/>
            </c:spPr>
            <c:extLst>
              <c:ext xmlns:c16="http://schemas.microsoft.com/office/drawing/2014/chart" uri="{C3380CC4-5D6E-409C-BE32-E72D297353CC}">
                <c16:uniqueId val="{0000001A-32DD-4B46-ADBC-B7C1200C092C}"/>
              </c:ext>
            </c:extLst>
          </c:dPt>
          <c:dPt>
            <c:idx val="1"/>
            <c:bubble3D val="0"/>
            <c:spPr>
              <a:solidFill>
                <a:schemeClr val="accent1">
                  <a:tint val="52000"/>
                </a:schemeClr>
              </a:solidFill>
              <a:ln w="19050">
                <a:solidFill>
                  <a:schemeClr val="lt1"/>
                </a:solidFill>
              </a:ln>
              <a:effectLst/>
            </c:spPr>
            <c:extLst>
              <c:ext xmlns:c16="http://schemas.microsoft.com/office/drawing/2014/chart" uri="{C3380CC4-5D6E-409C-BE32-E72D297353CC}">
                <c16:uniqueId val="{0000001C-32DD-4B46-ADBC-B7C1200C092C}"/>
              </c:ext>
            </c:extLst>
          </c:dPt>
          <c:dPt>
            <c:idx val="2"/>
            <c:bubble3D val="0"/>
            <c:spPr>
              <a:solidFill>
                <a:schemeClr val="accent1">
                  <a:tint val="63000"/>
                </a:schemeClr>
              </a:solidFill>
              <a:ln w="19050">
                <a:solidFill>
                  <a:schemeClr val="lt1"/>
                </a:solidFill>
              </a:ln>
              <a:effectLst/>
            </c:spPr>
            <c:extLst>
              <c:ext xmlns:c16="http://schemas.microsoft.com/office/drawing/2014/chart" uri="{C3380CC4-5D6E-409C-BE32-E72D297353CC}">
                <c16:uniqueId val="{0000001E-32DD-4B46-ADBC-B7C1200C092C}"/>
              </c:ext>
            </c:extLst>
          </c:dPt>
          <c:dPt>
            <c:idx val="3"/>
            <c:bubble3D val="0"/>
            <c:spPr>
              <a:solidFill>
                <a:schemeClr val="accent1">
                  <a:tint val="74000"/>
                </a:schemeClr>
              </a:solidFill>
              <a:ln w="19050">
                <a:solidFill>
                  <a:schemeClr val="lt1"/>
                </a:solidFill>
              </a:ln>
              <a:effectLst/>
            </c:spPr>
            <c:extLst>
              <c:ext xmlns:c16="http://schemas.microsoft.com/office/drawing/2014/chart" uri="{C3380CC4-5D6E-409C-BE32-E72D297353CC}">
                <c16:uniqueId val="{00000020-32DD-4B46-ADBC-B7C1200C092C}"/>
              </c:ext>
            </c:extLst>
          </c:dPt>
          <c:dPt>
            <c:idx val="4"/>
            <c:bubble3D val="0"/>
            <c:spPr>
              <a:solidFill>
                <a:schemeClr val="accent1">
                  <a:tint val="84000"/>
                </a:schemeClr>
              </a:solidFill>
              <a:ln w="19050">
                <a:solidFill>
                  <a:schemeClr val="lt1"/>
                </a:solidFill>
              </a:ln>
              <a:effectLst/>
            </c:spPr>
            <c:extLst>
              <c:ext xmlns:c16="http://schemas.microsoft.com/office/drawing/2014/chart" uri="{C3380CC4-5D6E-409C-BE32-E72D297353CC}">
                <c16:uniqueId val="{00000022-32DD-4B46-ADBC-B7C1200C092C}"/>
              </c:ext>
            </c:extLst>
          </c:dPt>
          <c:dPt>
            <c:idx val="5"/>
            <c:bubble3D val="0"/>
            <c:spPr>
              <a:solidFill>
                <a:schemeClr val="accent1">
                  <a:tint val="95000"/>
                </a:schemeClr>
              </a:solidFill>
              <a:ln w="19050">
                <a:solidFill>
                  <a:schemeClr val="lt1"/>
                </a:solidFill>
              </a:ln>
              <a:effectLst/>
            </c:spPr>
            <c:extLst>
              <c:ext xmlns:c16="http://schemas.microsoft.com/office/drawing/2014/chart" uri="{C3380CC4-5D6E-409C-BE32-E72D297353CC}">
                <c16:uniqueId val="{00000024-32DD-4B46-ADBC-B7C1200C092C}"/>
              </c:ext>
            </c:extLst>
          </c:dPt>
          <c:dPt>
            <c:idx val="6"/>
            <c:bubble3D val="0"/>
            <c:spPr>
              <a:solidFill>
                <a:schemeClr val="accent1">
                  <a:shade val="94000"/>
                </a:schemeClr>
              </a:solidFill>
              <a:ln w="19050">
                <a:solidFill>
                  <a:schemeClr val="lt1"/>
                </a:solidFill>
              </a:ln>
              <a:effectLst/>
            </c:spPr>
            <c:extLst>
              <c:ext xmlns:c16="http://schemas.microsoft.com/office/drawing/2014/chart" uri="{C3380CC4-5D6E-409C-BE32-E72D297353CC}">
                <c16:uniqueId val="{00000026-32DD-4B46-ADBC-B7C1200C092C}"/>
              </c:ext>
            </c:extLst>
          </c:dPt>
          <c:dPt>
            <c:idx val="7"/>
            <c:bubble3D val="0"/>
            <c:spPr>
              <a:solidFill>
                <a:schemeClr val="accent1">
                  <a:shade val="83000"/>
                </a:schemeClr>
              </a:solidFill>
              <a:ln w="19050">
                <a:solidFill>
                  <a:schemeClr val="lt1"/>
                </a:solidFill>
              </a:ln>
              <a:effectLst/>
            </c:spPr>
            <c:extLst>
              <c:ext xmlns:c16="http://schemas.microsoft.com/office/drawing/2014/chart" uri="{C3380CC4-5D6E-409C-BE32-E72D297353CC}">
                <c16:uniqueId val="{00000028-32DD-4B46-ADBC-B7C1200C092C}"/>
              </c:ext>
            </c:extLst>
          </c:dPt>
          <c:dPt>
            <c:idx val="8"/>
            <c:bubble3D val="0"/>
            <c:spPr>
              <a:solidFill>
                <a:schemeClr val="accent1">
                  <a:shade val="73000"/>
                </a:schemeClr>
              </a:solidFill>
              <a:ln w="19050">
                <a:solidFill>
                  <a:schemeClr val="lt1"/>
                </a:solidFill>
              </a:ln>
              <a:effectLst/>
            </c:spPr>
            <c:extLst>
              <c:ext xmlns:c16="http://schemas.microsoft.com/office/drawing/2014/chart" uri="{C3380CC4-5D6E-409C-BE32-E72D297353CC}">
                <c16:uniqueId val="{0000002A-32DD-4B46-ADBC-B7C1200C092C}"/>
              </c:ext>
            </c:extLst>
          </c:dPt>
          <c:dPt>
            <c:idx val="9"/>
            <c:bubble3D val="0"/>
            <c:spPr>
              <a:solidFill>
                <a:schemeClr val="accent1">
                  <a:shade val="62000"/>
                </a:schemeClr>
              </a:solidFill>
              <a:ln w="19050">
                <a:solidFill>
                  <a:schemeClr val="lt1"/>
                </a:solidFill>
              </a:ln>
              <a:effectLst/>
            </c:spPr>
            <c:extLst>
              <c:ext xmlns:c16="http://schemas.microsoft.com/office/drawing/2014/chart" uri="{C3380CC4-5D6E-409C-BE32-E72D297353CC}">
                <c16:uniqueId val="{0000002C-32DD-4B46-ADBC-B7C1200C092C}"/>
              </c:ext>
            </c:extLst>
          </c:dPt>
          <c:dPt>
            <c:idx val="10"/>
            <c:bubble3D val="0"/>
            <c:spPr>
              <a:solidFill>
                <a:schemeClr val="accent1">
                  <a:shade val="51000"/>
                </a:schemeClr>
              </a:solidFill>
              <a:ln w="19050">
                <a:solidFill>
                  <a:schemeClr val="lt1"/>
                </a:solidFill>
              </a:ln>
              <a:effectLst/>
            </c:spPr>
            <c:extLst>
              <c:ext xmlns:c16="http://schemas.microsoft.com/office/drawing/2014/chart" uri="{C3380CC4-5D6E-409C-BE32-E72D297353CC}">
                <c16:uniqueId val="{0000002E-32DD-4B46-ADBC-B7C1200C092C}"/>
              </c:ext>
            </c:extLst>
          </c:dPt>
          <c:dPt>
            <c:idx val="11"/>
            <c:bubble3D val="0"/>
            <c:spPr>
              <a:solidFill>
                <a:schemeClr val="accent1">
                  <a:shade val="40000"/>
                </a:schemeClr>
              </a:solidFill>
              <a:ln w="19050">
                <a:solidFill>
                  <a:schemeClr val="lt1"/>
                </a:solidFill>
              </a:ln>
              <a:effectLst/>
            </c:spPr>
            <c:extLst>
              <c:ext xmlns:c16="http://schemas.microsoft.com/office/drawing/2014/chart" uri="{C3380CC4-5D6E-409C-BE32-E72D297353CC}">
                <c16:uniqueId val="{00000030-32DD-4B46-ADBC-B7C1200C092C}"/>
              </c:ext>
            </c:extLst>
          </c:dPt>
          <c:cat>
            <c:multiLvlStrRef>
              <c:f>Sheet1!$V$192:$V$208</c:f>
              <c:multiLvlStrCache>
                <c:ptCount val="12"/>
                <c:lvl>
                  <c:pt idx="0">
                    <c:v>Female</c:v>
                  </c:pt>
                  <c:pt idx="1">
                    <c:v>Male</c:v>
                  </c:pt>
                  <c:pt idx="2">
                    <c:v>Other</c:v>
                  </c:pt>
                  <c:pt idx="3">
                    <c:v>Female</c:v>
                  </c:pt>
                  <c:pt idx="4">
                    <c:v>Male</c:v>
                  </c:pt>
                  <c:pt idx="5">
                    <c:v>Other</c:v>
                  </c:pt>
                  <c:pt idx="6">
                    <c:v>Female</c:v>
                  </c:pt>
                  <c:pt idx="7">
                    <c:v>Male</c:v>
                  </c:pt>
                  <c:pt idx="8">
                    <c:v>Other</c:v>
                  </c:pt>
                  <c:pt idx="9">
                    <c:v>Female</c:v>
                  </c:pt>
                  <c:pt idx="10">
                    <c:v>Male</c:v>
                  </c:pt>
                  <c:pt idx="11">
                    <c:v>Other</c:v>
                  </c:pt>
                </c:lvl>
                <c:lvl>
                  <c:pt idx="0">
                    <c:v>East</c:v>
                  </c:pt>
                  <c:pt idx="3">
                    <c:v>North</c:v>
                  </c:pt>
                  <c:pt idx="6">
                    <c:v>South</c:v>
                  </c:pt>
                  <c:pt idx="9">
                    <c:v>West</c:v>
                  </c:pt>
                </c:lvl>
              </c:multiLvlStrCache>
            </c:multiLvlStrRef>
          </c:cat>
          <c:val>
            <c:numRef>
              <c:f>Sheet1!$X$192:$X$208</c:f>
              <c:numCache>
                <c:formatCode>0.00</c:formatCode>
                <c:ptCount val="12"/>
                <c:pt idx="0">
                  <c:v>12100</c:v>
                </c:pt>
                <c:pt idx="4">
                  <c:v>4900</c:v>
                </c:pt>
                <c:pt idx="7">
                  <c:v>4100</c:v>
                </c:pt>
                <c:pt idx="8">
                  <c:v>5400</c:v>
                </c:pt>
                <c:pt idx="10">
                  <c:v>5900</c:v>
                </c:pt>
              </c:numCache>
            </c:numRef>
          </c:val>
          <c:extLst>
            <c:ext xmlns:c16="http://schemas.microsoft.com/office/drawing/2014/chart" uri="{C3380CC4-5D6E-409C-BE32-E72D297353CC}">
              <c16:uniqueId val="{00000031-32DD-4B46-ADBC-B7C1200C092C}"/>
            </c:ext>
          </c:extLst>
        </c:ser>
        <c:ser>
          <c:idx val="2"/>
          <c:order val="2"/>
          <c:tx>
            <c:strRef>
              <c:f>Sheet1!$Y$190:$Y$191</c:f>
              <c:strCache>
                <c:ptCount val="1"/>
                <c:pt idx="0">
                  <c:v>Clothing</c:v>
                </c:pt>
              </c:strCache>
            </c:strRef>
          </c:tx>
          <c:dPt>
            <c:idx val="0"/>
            <c:bubble3D val="0"/>
            <c:spPr>
              <a:solidFill>
                <a:schemeClr val="accent1">
                  <a:tint val="41000"/>
                </a:schemeClr>
              </a:solidFill>
              <a:ln w="19050">
                <a:solidFill>
                  <a:schemeClr val="lt1"/>
                </a:solidFill>
              </a:ln>
              <a:effectLst/>
            </c:spPr>
            <c:extLst>
              <c:ext xmlns:c16="http://schemas.microsoft.com/office/drawing/2014/chart" uri="{C3380CC4-5D6E-409C-BE32-E72D297353CC}">
                <c16:uniqueId val="{00000033-32DD-4B46-ADBC-B7C1200C092C}"/>
              </c:ext>
            </c:extLst>
          </c:dPt>
          <c:dPt>
            <c:idx val="1"/>
            <c:bubble3D val="0"/>
            <c:spPr>
              <a:solidFill>
                <a:schemeClr val="accent1">
                  <a:tint val="52000"/>
                </a:schemeClr>
              </a:solidFill>
              <a:ln w="19050">
                <a:solidFill>
                  <a:schemeClr val="lt1"/>
                </a:solidFill>
              </a:ln>
              <a:effectLst/>
            </c:spPr>
            <c:extLst>
              <c:ext xmlns:c16="http://schemas.microsoft.com/office/drawing/2014/chart" uri="{C3380CC4-5D6E-409C-BE32-E72D297353CC}">
                <c16:uniqueId val="{00000035-32DD-4B46-ADBC-B7C1200C092C}"/>
              </c:ext>
            </c:extLst>
          </c:dPt>
          <c:dPt>
            <c:idx val="2"/>
            <c:bubble3D val="0"/>
            <c:spPr>
              <a:solidFill>
                <a:schemeClr val="accent1">
                  <a:tint val="63000"/>
                </a:schemeClr>
              </a:solidFill>
              <a:ln w="19050">
                <a:solidFill>
                  <a:schemeClr val="lt1"/>
                </a:solidFill>
              </a:ln>
              <a:effectLst/>
            </c:spPr>
            <c:extLst>
              <c:ext xmlns:c16="http://schemas.microsoft.com/office/drawing/2014/chart" uri="{C3380CC4-5D6E-409C-BE32-E72D297353CC}">
                <c16:uniqueId val="{00000037-32DD-4B46-ADBC-B7C1200C092C}"/>
              </c:ext>
            </c:extLst>
          </c:dPt>
          <c:dPt>
            <c:idx val="3"/>
            <c:bubble3D val="0"/>
            <c:spPr>
              <a:solidFill>
                <a:schemeClr val="accent1">
                  <a:tint val="74000"/>
                </a:schemeClr>
              </a:solidFill>
              <a:ln w="19050">
                <a:solidFill>
                  <a:schemeClr val="lt1"/>
                </a:solidFill>
              </a:ln>
              <a:effectLst/>
            </c:spPr>
            <c:extLst>
              <c:ext xmlns:c16="http://schemas.microsoft.com/office/drawing/2014/chart" uri="{C3380CC4-5D6E-409C-BE32-E72D297353CC}">
                <c16:uniqueId val="{00000039-32DD-4B46-ADBC-B7C1200C092C}"/>
              </c:ext>
            </c:extLst>
          </c:dPt>
          <c:dPt>
            <c:idx val="4"/>
            <c:bubble3D val="0"/>
            <c:spPr>
              <a:solidFill>
                <a:schemeClr val="accent1">
                  <a:tint val="84000"/>
                </a:schemeClr>
              </a:solidFill>
              <a:ln w="19050">
                <a:solidFill>
                  <a:schemeClr val="lt1"/>
                </a:solidFill>
              </a:ln>
              <a:effectLst/>
            </c:spPr>
            <c:extLst>
              <c:ext xmlns:c16="http://schemas.microsoft.com/office/drawing/2014/chart" uri="{C3380CC4-5D6E-409C-BE32-E72D297353CC}">
                <c16:uniqueId val="{0000003B-32DD-4B46-ADBC-B7C1200C092C}"/>
              </c:ext>
            </c:extLst>
          </c:dPt>
          <c:dPt>
            <c:idx val="5"/>
            <c:bubble3D val="0"/>
            <c:spPr>
              <a:solidFill>
                <a:schemeClr val="accent1">
                  <a:tint val="95000"/>
                </a:schemeClr>
              </a:solidFill>
              <a:ln w="19050">
                <a:solidFill>
                  <a:schemeClr val="lt1"/>
                </a:solidFill>
              </a:ln>
              <a:effectLst/>
            </c:spPr>
            <c:extLst>
              <c:ext xmlns:c16="http://schemas.microsoft.com/office/drawing/2014/chart" uri="{C3380CC4-5D6E-409C-BE32-E72D297353CC}">
                <c16:uniqueId val="{0000003D-32DD-4B46-ADBC-B7C1200C092C}"/>
              </c:ext>
            </c:extLst>
          </c:dPt>
          <c:dPt>
            <c:idx val="6"/>
            <c:bubble3D val="0"/>
            <c:spPr>
              <a:solidFill>
                <a:schemeClr val="accent1">
                  <a:shade val="94000"/>
                </a:schemeClr>
              </a:solidFill>
              <a:ln w="19050">
                <a:solidFill>
                  <a:schemeClr val="lt1"/>
                </a:solidFill>
              </a:ln>
              <a:effectLst/>
            </c:spPr>
            <c:extLst>
              <c:ext xmlns:c16="http://schemas.microsoft.com/office/drawing/2014/chart" uri="{C3380CC4-5D6E-409C-BE32-E72D297353CC}">
                <c16:uniqueId val="{0000003F-32DD-4B46-ADBC-B7C1200C092C}"/>
              </c:ext>
            </c:extLst>
          </c:dPt>
          <c:dPt>
            <c:idx val="7"/>
            <c:bubble3D val="0"/>
            <c:spPr>
              <a:solidFill>
                <a:schemeClr val="accent1">
                  <a:shade val="83000"/>
                </a:schemeClr>
              </a:solidFill>
              <a:ln w="19050">
                <a:solidFill>
                  <a:schemeClr val="lt1"/>
                </a:solidFill>
              </a:ln>
              <a:effectLst/>
            </c:spPr>
            <c:extLst>
              <c:ext xmlns:c16="http://schemas.microsoft.com/office/drawing/2014/chart" uri="{C3380CC4-5D6E-409C-BE32-E72D297353CC}">
                <c16:uniqueId val="{00000041-32DD-4B46-ADBC-B7C1200C092C}"/>
              </c:ext>
            </c:extLst>
          </c:dPt>
          <c:dPt>
            <c:idx val="8"/>
            <c:bubble3D val="0"/>
            <c:spPr>
              <a:solidFill>
                <a:schemeClr val="accent1">
                  <a:shade val="73000"/>
                </a:schemeClr>
              </a:solidFill>
              <a:ln w="19050">
                <a:solidFill>
                  <a:schemeClr val="lt1"/>
                </a:solidFill>
              </a:ln>
              <a:effectLst/>
            </c:spPr>
            <c:extLst>
              <c:ext xmlns:c16="http://schemas.microsoft.com/office/drawing/2014/chart" uri="{C3380CC4-5D6E-409C-BE32-E72D297353CC}">
                <c16:uniqueId val="{00000043-32DD-4B46-ADBC-B7C1200C092C}"/>
              </c:ext>
            </c:extLst>
          </c:dPt>
          <c:dPt>
            <c:idx val="9"/>
            <c:bubble3D val="0"/>
            <c:spPr>
              <a:solidFill>
                <a:schemeClr val="accent1">
                  <a:shade val="62000"/>
                </a:schemeClr>
              </a:solidFill>
              <a:ln w="19050">
                <a:solidFill>
                  <a:schemeClr val="lt1"/>
                </a:solidFill>
              </a:ln>
              <a:effectLst/>
            </c:spPr>
            <c:extLst>
              <c:ext xmlns:c16="http://schemas.microsoft.com/office/drawing/2014/chart" uri="{C3380CC4-5D6E-409C-BE32-E72D297353CC}">
                <c16:uniqueId val="{00000045-32DD-4B46-ADBC-B7C1200C092C}"/>
              </c:ext>
            </c:extLst>
          </c:dPt>
          <c:dPt>
            <c:idx val="10"/>
            <c:bubble3D val="0"/>
            <c:spPr>
              <a:solidFill>
                <a:schemeClr val="accent1">
                  <a:shade val="51000"/>
                </a:schemeClr>
              </a:solidFill>
              <a:ln w="19050">
                <a:solidFill>
                  <a:schemeClr val="lt1"/>
                </a:solidFill>
              </a:ln>
              <a:effectLst/>
            </c:spPr>
            <c:extLst>
              <c:ext xmlns:c16="http://schemas.microsoft.com/office/drawing/2014/chart" uri="{C3380CC4-5D6E-409C-BE32-E72D297353CC}">
                <c16:uniqueId val="{00000047-32DD-4B46-ADBC-B7C1200C092C}"/>
              </c:ext>
            </c:extLst>
          </c:dPt>
          <c:dPt>
            <c:idx val="11"/>
            <c:bubble3D val="0"/>
            <c:spPr>
              <a:solidFill>
                <a:schemeClr val="accent1">
                  <a:shade val="40000"/>
                </a:schemeClr>
              </a:solidFill>
              <a:ln w="19050">
                <a:solidFill>
                  <a:schemeClr val="lt1"/>
                </a:solidFill>
              </a:ln>
              <a:effectLst/>
            </c:spPr>
            <c:extLst>
              <c:ext xmlns:c16="http://schemas.microsoft.com/office/drawing/2014/chart" uri="{C3380CC4-5D6E-409C-BE32-E72D297353CC}">
                <c16:uniqueId val="{00000049-32DD-4B46-ADBC-B7C1200C092C}"/>
              </c:ext>
            </c:extLst>
          </c:dPt>
          <c:cat>
            <c:multiLvlStrRef>
              <c:f>Sheet1!$V$192:$V$208</c:f>
              <c:multiLvlStrCache>
                <c:ptCount val="12"/>
                <c:lvl>
                  <c:pt idx="0">
                    <c:v>Female</c:v>
                  </c:pt>
                  <c:pt idx="1">
                    <c:v>Male</c:v>
                  </c:pt>
                  <c:pt idx="2">
                    <c:v>Other</c:v>
                  </c:pt>
                  <c:pt idx="3">
                    <c:v>Female</c:v>
                  </c:pt>
                  <c:pt idx="4">
                    <c:v>Male</c:v>
                  </c:pt>
                  <c:pt idx="5">
                    <c:v>Other</c:v>
                  </c:pt>
                  <c:pt idx="6">
                    <c:v>Female</c:v>
                  </c:pt>
                  <c:pt idx="7">
                    <c:v>Male</c:v>
                  </c:pt>
                  <c:pt idx="8">
                    <c:v>Other</c:v>
                  </c:pt>
                  <c:pt idx="9">
                    <c:v>Female</c:v>
                  </c:pt>
                  <c:pt idx="10">
                    <c:v>Male</c:v>
                  </c:pt>
                  <c:pt idx="11">
                    <c:v>Other</c:v>
                  </c:pt>
                </c:lvl>
                <c:lvl>
                  <c:pt idx="0">
                    <c:v>East</c:v>
                  </c:pt>
                  <c:pt idx="3">
                    <c:v>North</c:v>
                  </c:pt>
                  <c:pt idx="6">
                    <c:v>South</c:v>
                  </c:pt>
                  <c:pt idx="9">
                    <c:v>West</c:v>
                  </c:pt>
                </c:lvl>
              </c:multiLvlStrCache>
            </c:multiLvlStrRef>
          </c:cat>
          <c:val>
            <c:numRef>
              <c:f>Sheet1!$Y$192:$Y$208</c:f>
              <c:numCache>
                <c:formatCode>0.00</c:formatCode>
                <c:ptCount val="12"/>
                <c:pt idx="1">
                  <c:v>6400</c:v>
                </c:pt>
                <c:pt idx="2">
                  <c:v>6800</c:v>
                </c:pt>
                <c:pt idx="3">
                  <c:v>5200</c:v>
                </c:pt>
                <c:pt idx="8">
                  <c:v>3100</c:v>
                </c:pt>
              </c:numCache>
            </c:numRef>
          </c:val>
          <c:extLst>
            <c:ext xmlns:c16="http://schemas.microsoft.com/office/drawing/2014/chart" uri="{C3380CC4-5D6E-409C-BE32-E72D297353CC}">
              <c16:uniqueId val="{0000004A-32DD-4B46-ADBC-B7C1200C092C}"/>
            </c:ext>
          </c:extLst>
        </c:ser>
        <c:ser>
          <c:idx val="3"/>
          <c:order val="3"/>
          <c:tx>
            <c:strRef>
              <c:f>Sheet1!$Z$190:$Z$191</c:f>
              <c:strCache>
                <c:ptCount val="1"/>
                <c:pt idx="0">
                  <c:v>Electronics</c:v>
                </c:pt>
              </c:strCache>
            </c:strRef>
          </c:tx>
          <c:dPt>
            <c:idx val="0"/>
            <c:bubble3D val="0"/>
            <c:spPr>
              <a:solidFill>
                <a:schemeClr val="accent1">
                  <a:tint val="41000"/>
                </a:schemeClr>
              </a:solidFill>
              <a:ln w="19050">
                <a:solidFill>
                  <a:schemeClr val="lt1"/>
                </a:solidFill>
              </a:ln>
              <a:effectLst/>
            </c:spPr>
            <c:extLst>
              <c:ext xmlns:c16="http://schemas.microsoft.com/office/drawing/2014/chart" uri="{C3380CC4-5D6E-409C-BE32-E72D297353CC}">
                <c16:uniqueId val="{0000004C-32DD-4B46-ADBC-B7C1200C092C}"/>
              </c:ext>
            </c:extLst>
          </c:dPt>
          <c:dPt>
            <c:idx val="1"/>
            <c:bubble3D val="0"/>
            <c:spPr>
              <a:solidFill>
                <a:schemeClr val="accent1">
                  <a:tint val="52000"/>
                </a:schemeClr>
              </a:solidFill>
              <a:ln w="19050">
                <a:solidFill>
                  <a:schemeClr val="lt1"/>
                </a:solidFill>
              </a:ln>
              <a:effectLst/>
            </c:spPr>
            <c:extLst>
              <c:ext xmlns:c16="http://schemas.microsoft.com/office/drawing/2014/chart" uri="{C3380CC4-5D6E-409C-BE32-E72D297353CC}">
                <c16:uniqueId val="{0000004E-32DD-4B46-ADBC-B7C1200C092C}"/>
              </c:ext>
            </c:extLst>
          </c:dPt>
          <c:dPt>
            <c:idx val="2"/>
            <c:bubble3D val="0"/>
            <c:spPr>
              <a:solidFill>
                <a:schemeClr val="accent1">
                  <a:tint val="63000"/>
                </a:schemeClr>
              </a:solidFill>
              <a:ln w="19050">
                <a:solidFill>
                  <a:schemeClr val="lt1"/>
                </a:solidFill>
              </a:ln>
              <a:effectLst/>
            </c:spPr>
            <c:extLst>
              <c:ext xmlns:c16="http://schemas.microsoft.com/office/drawing/2014/chart" uri="{C3380CC4-5D6E-409C-BE32-E72D297353CC}">
                <c16:uniqueId val="{00000050-32DD-4B46-ADBC-B7C1200C092C}"/>
              </c:ext>
            </c:extLst>
          </c:dPt>
          <c:dPt>
            <c:idx val="3"/>
            <c:bubble3D val="0"/>
            <c:spPr>
              <a:solidFill>
                <a:schemeClr val="accent1">
                  <a:tint val="74000"/>
                </a:schemeClr>
              </a:solidFill>
              <a:ln w="19050">
                <a:solidFill>
                  <a:schemeClr val="lt1"/>
                </a:solidFill>
              </a:ln>
              <a:effectLst/>
            </c:spPr>
            <c:extLst>
              <c:ext xmlns:c16="http://schemas.microsoft.com/office/drawing/2014/chart" uri="{C3380CC4-5D6E-409C-BE32-E72D297353CC}">
                <c16:uniqueId val="{00000052-32DD-4B46-ADBC-B7C1200C092C}"/>
              </c:ext>
            </c:extLst>
          </c:dPt>
          <c:dPt>
            <c:idx val="4"/>
            <c:bubble3D val="0"/>
            <c:spPr>
              <a:solidFill>
                <a:schemeClr val="accent1">
                  <a:tint val="84000"/>
                </a:schemeClr>
              </a:solidFill>
              <a:ln w="19050">
                <a:solidFill>
                  <a:schemeClr val="lt1"/>
                </a:solidFill>
              </a:ln>
              <a:effectLst/>
            </c:spPr>
            <c:extLst>
              <c:ext xmlns:c16="http://schemas.microsoft.com/office/drawing/2014/chart" uri="{C3380CC4-5D6E-409C-BE32-E72D297353CC}">
                <c16:uniqueId val="{00000054-32DD-4B46-ADBC-B7C1200C092C}"/>
              </c:ext>
            </c:extLst>
          </c:dPt>
          <c:dPt>
            <c:idx val="5"/>
            <c:bubble3D val="0"/>
            <c:spPr>
              <a:solidFill>
                <a:schemeClr val="accent1">
                  <a:tint val="95000"/>
                </a:schemeClr>
              </a:solidFill>
              <a:ln w="19050">
                <a:solidFill>
                  <a:schemeClr val="lt1"/>
                </a:solidFill>
              </a:ln>
              <a:effectLst/>
            </c:spPr>
            <c:extLst>
              <c:ext xmlns:c16="http://schemas.microsoft.com/office/drawing/2014/chart" uri="{C3380CC4-5D6E-409C-BE32-E72D297353CC}">
                <c16:uniqueId val="{00000056-32DD-4B46-ADBC-B7C1200C092C}"/>
              </c:ext>
            </c:extLst>
          </c:dPt>
          <c:dPt>
            <c:idx val="6"/>
            <c:bubble3D val="0"/>
            <c:spPr>
              <a:solidFill>
                <a:schemeClr val="accent1">
                  <a:shade val="94000"/>
                </a:schemeClr>
              </a:solidFill>
              <a:ln w="19050">
                <a:solidFill>
                  <a:schemeClr val="lt1"/>
                </a:solidFill>
              </a:ln>
              <a:effectLst/>
            </c:spPr>
            <c:extLst>
              <c:ext xmlns:c16="http://schemas.microsoft.com/office/drawing/2014/chart" uri="{C3380CC4-5D6E-409C-BE32-E72D297353CC}">
                <c16:uniqueId val="{00000058-32DD-4B46-ADBC-B7C1200C092C}"/>
              </c:ext>
            </c:extLst>
          </c:dPt>
          <c:dPt>
            <c:idx val="7"/>
            <c:bubble3D val="0"/>
            <c:spPr>
              <a:solidFill>
                <a:schemeClr val="accent1">
                  <a:shade val="83000"/>
                </a:schemeClr>
              </a:solidFill>
              <a:ln w="19050">
                <a:solidFill>
                  <a:schemeClr val="lt1"/>
                </a:solidFill>
              </a:ln>
              <a:effectLst/>
            </c:spPr>
            <c:extLst>
              <c:ext xmlns:c16="http://schemas.microsoft.com/office/drawing/2014/chart" uri="{C3380CC4-5D6E-409C-BE32-E72D297353CC}">
                <c16:uniqueId val="{0000005A-32DD-4B46-ADBC-B7C1200C092C}"/>
              </c:ext>
            </c:extLst>
          </c:dPt>
          <c:dPt>
            <c:idx val="8"/>
            <c:bubble3D val="0"/>
            <c:spPr>
              <a:solidFill>
                <a:schemeClr val="accent1">
                  <a:shade val="73000"/>
                </a:schemeClr>
              </a:solidFill>
              <a:ln w="19050">
                <a:solidFill>
                  <a:schemeClr val="lt1"/>
                </a:solidFill>
              </a:ln>
              <a:effectLst/>
            </c:spPr>
            <c:extLst>
              <c:ext xmlns:c16="http://schemas.microsoft.com/office/drawing/2014/chart" uri="{C3380CC4-5D6E-409C-BE32-E72D297353CC}">
                <c16:uniqueId val="{0000005C-32DD-4B46-ADBC-B7C1200C092C}"/>
              </c:ext>
            </c:extLst>
          </c:dPt>
          <c:dPt>
            <c:idx val="9"/>
            <c:bubble3D val="0"/>
            <c:spPr>
              <a:solidFill>
                <a:schemeClr val="accent1">
                  <a:shade val="62000"/>
                </a:schemeClr>
              </a:solidFill>
              <a:ln w="19050">
                <a:solidFill>
                  <a:schemeClr val="lt1"/>
                </a:solidFill>
              </a:ln>
              <a:effectLst/>
            </c:spPr>
            <c:extLst>
              <c:ext xmlns:c16="http://schemas.microsoft.com/office/drawing/2014/chart" uri="{C3380CC4-5D6E-409C-BE32-E72D297353CC}">
                <c16:uniqueId val="{0000005E-32DD-4B46-ADBC-B7C1200C092C}"/>
              </c:ext>
            </c:extLst>
          </c:dPt>
          <c:dPt>
            <c:idx val="10"/>
            <c:bubble3D val="0"/>
            <c:spPr>
              <a:solidFill>
                <a:schemeClr val="accent1">
                  <a:shade val="51000"/>
                </a:schemeClr>
              </a:solidFill>
              <a:ln w="19050">
                <a:solidFill>
                  <a:schemeClr val="lt1"/>
                </a:solidFill>
              </a:ln>
              <a:effectLst/>
            </c:spPr>
            <c:extLst>
              <c:ext xmlns:c16="http://schemas.microsoft.com/office/drawing/2014/chart" uri="{C3380CC4-5D6E-409C-BE32-E72D297353CC}">
                <c16:uniqueId val="{00000060-32DD-4B46-ADBC-B7C1200C092C}"/>
              </c:ext>
            </c:extLst>
          </c:dPt>
          <c:dPt>
            <c:idx val="11"/>
            <c:bubble3D val="0"/>
            <c:spPr>
              <a:solidFill>
                <a:schemeClr val="accent1">
                  <a:shade val="40000"/>
                </a:schemeClr>
              </a:solidFill>
              <a:ln w="19050">
                <a:solidFill>
                  <a:schemeClr val="lt1"/>
                </a:solidFill>
              </a:ln>
              <a:effectLst/>
            </c:spPr>
            <c:extLst>
              <c:ext xmlns:c16="http://schemas.microsoft.com/office/drawing/2014/chart" uri="{C3380CC4-5D6E-409C-BE32-E72D297353CC}">
                <c16:uniqueId val="{00000062-32DD-4B46-ADBC-B7C1200C092C}"/>
              </c:ext>
            </c:extLst>
          </c:dPt>
          <c:cat>
            <c:multiLvlStrRef>
              <c:f>Sheet1!$V$192:$V$208</c:f>
              <c:multiLvlStrCache>
                <c:ptCount val="12"/>
                <c:lvl>
                  <c:pt idx="0">
                    <c:v>Female</c:v>
                  </c:pt>
                  <c:pt idx="1">
                    <c:v>Male</c:v>
                  </c:pt>
                  <c:pt idx="2">
                    <c:v>Other</c:v>
                  </c:pt>
                  <c:pt idx="3">
                    <c:v>Female</c:v>
                  </c:pt>
                  <c:pt idx="4">
                    <c:v>Male</c:v>
                  </c:pt>
                  <c:pt idx="5">
                    <c:v>Other</c:v>
                  </c:pt>
                  <c:pt idx="6">
                    <c:v>Female</c:v>
                  </c:pt>
                  <c:pt idx="7">
                    <c:v>Male</c:v>
                  </c:pt>
                  <c:pt idx="8">
                    <c:v>Other</c:v>
                  </c:pt>
                  <c:pt idx="9">
                    <c:v>Female</c:v>
                  </c:pt>
                  <c:pt idx="10">
                    <c:v>Male</c:v>
                  </c:pt>
                  <c:pt idx="11">
                    <c:v>Other</c:v>
                  </c:pt>
                </c:lvl>
                <c:lvl>
                  <c:pt idx="0">
                    <c:v>East</c:v>
                  </c:pt>
                  <c:pt idx="3">
                    <c:v>North</c:v>
                  </c:pt>
                  <c:pt idx="6">
                    <c:v>South</c:v>
                  </c:pt>
                  <c:pt idx="9">
                    <c:v>West</c:v>
                  </c:pt>
                </c:lvl>
              </c:multiLvlStrCache>
            </c:multiLvlStrRef>
          </c:cat>
          <c:val>
            <c:numRef>
              <c:f>Sheet1!$Z$192:$Z$208</c:f>
              <c:numCache>
                <c:formatCode>0.00</c:formatCode>
                <c:ptCount val="12"/>
                <c:pt idx="0">
                  <c:v>2600</c:v>
                </c:pt>
                <c:pt idx="1">
                  <c:v>3400</c:v>
                </c:pt>
                <c:pt idx="4">
                  <c:v>8400</c:v>
                </c:pt>
                <c:pt idx="5">
                  <c:v>15600</c:v>
                </c:pt>
                <c:pt idx="6">
                  <c:v>2500</c:v>
                </c:pt>
                <c:pt idx="7">
                  <c:v>3600</c:v>
                </c:pt>
                <c:pt idx="9">
                  <c:v>4500</c:v>
                </c:pt>
                <c:pt idx="11">
                  <c:v>4300</c:v>
                </c:pt>
              </c:numCache>
            </c:numRef>
          </c:val>
          <c:extLst>
            <c:ext xmlns:c16="http://schemas.microsoft.com/office/drawing/2014/chart" uri="{C3380CC4-5D6E-409C-BE32-E72D297353CC}">
              <c16:uniqueId val="{00000063-32DD-4B46-ADBC-B7C1200C092C}"/>
            </c:ext>
          </c:extLst>
        </c:ser>
        <c:ser>
          <c:idx val="4"/>
          <c:order val="4"/>
          <c:tx>
            <c:strRef>
              <c:f>Sheet1!$AA$190:$AA$191</c:f>
              <c:strCache>
                <c:ptCount val="1"/>
                <c:pt idx="0">
                  <c:v>Home &amp; Kitchen</c:v>
                </c:pt>
              </c:strCache>
            </c:strRef>
          </c:tx>
          <c:dPt>
            <c:idx val="0"/>
            <c:bubble3D val="0"/>
            <c:spPr>
              <a:solidFill>
                <a:schemeClr val="accent1">
                  <a:tint val="41000"/>
                </a:schemeClr>
              </a:solidFill>
              <a:ln w="19050">
                <a:solidFill>
                  <a:schemeClr val="lt1"/>
                </a:solidFill>
              </a:ln>
              <a:effectLst/>
            </c:spPr>
            <c:extLst>
              <c:ext xmlns:c16="http://schemas.microsoft.com/office/drawing/2014/chart" uri="{C3380CC4-5D6E-409C-BE32-E72D297353CC}">
                <c16:uniqueId val="{00000065-32DD-4B46-ADBC-B7C1200C092C}"/>
              </c:ext>
            </c:extLst>
          </c:dPt>
          <c:dPt>
            <c:idx val="1"/>
            <c:bubble3D val="0"/>
            <c:spPr>
              <a:solidFill>
                <a:schemeClr val="accent1">
                  <a:tint val="52000"/>
                </a:schemeClr>
              </a:solidFill>
              <a:ln w="19050">
                <a:solidFill>
                  <a:schemeClr val="lt1"/>
                </a:solidFill>
              </a:ln>
              <a:effectLst/>
            </c:spPr>
            <c:extLst>
              <c:ext xmlns:c16="http://schemas.microsoft.com/office/drawing/2014/chart" uri="{C3380CC4-5D6E-409C-BE32-E72D297353CC}">
                <c16:uniqueId val="{00000067-32DD-4B46-ADBC-B7C1200C092C}"/>
              </c:ext>
            </c:extLst>
          </c:dPt>
          <c:dPt>
            <c:idx val="2"/>
            <c:bubble3D val="0"/>
            <c:spPr>
              <a:solidFill>
                <a:schemeClr val="accent1">
                  <a:tint val="63000"/>
                </a:schemeClr>
              </a:solidFill>
              <a:ln w="19050">
                <a:solidFill>
                  <a:schemeClr val="lt1"/>
                </a:solidFill>
              </a:ln>
              <a:effectLst/>
            </c:spPr>
            <c:extLst>
              <c:ext xmlns:c16="http://schemas.microsoft.com/office/drawing/2014/chart" uri="{C3380CC4-5D6E-409C-BE32-E72D297353CC}">
                <c16:uniqueId val="{00000069-32DD-4B46-ADBC-B7C1200C092C}"/>
              </c:ext>
            </c:extLst>
          </c:dPt>
          <c:dPt>
            <c:idx val="3"/>
            <c:bubble3D val="0"/>
            <c:spPr>
              <a:solidFill>
                <a:schemeClr val="accent1">
                  <a:tint val="74000"/>
                </a:schemeClr>
              </a:solidFill>
              <a:ln w="19050">
                <a:solidFill>
                  <a:schemeClr val="lt1"/>
                </a:solidFill>
              </a:ln>
              <a:effectLst/>
            </c:spPr>
            <c:extLst>
              <c:ext xmlns:c16="http://schemas.microsoft.com/office/drawing/2014/chart" uri="{C3380CC4-5D6E-409C-BE32-E72D297353CC}">
                <c16:uniqueId val="{0000006B-32DD-4B46-ADBC-B7C1200C092C}"/>
              </c:ext>
            </c:extLst>
          </c:dPt>
          <c:dPt>
            <c:idx val="4"/>
            <c:bubble3D val="0"/>
            <c:spPr>
              <a:solidFill>
                <a:schemeClr val="accent1">
                  <a:tint val="84000"/>
                </a:schemeClr>
              </a:solidFill>
              <a:ln w="19050">
                <a:solidFill>
                  <a:schemeClr val="lt1"/>
                </a:solidFill>
              </a:ln>
              <a:effectLst/>
            </c:spPr>
            <c:extLst>
              <c:ext xmlns:c16="http://schemas.microsoft.com/office/drawing/2014/chart" uri="{C3380CC4-5D6E-409C-BE32-E72D297353CC}">
                <c16:uniqueId val="{0000006D-32DD-4B46-ADBC-B7C1200C092C}"/>
              </c:ext>
            </c:extLst>
          </c:dPt>
          <c:dPt>
            <c:idx val="5"/>
            <c:bubble3D val="0"/>
            <c:spPr>
              <a:solidFill>
                <a:schemeClr val="accent1">
                  <a:tint val="95000"/>
                </a:schemeClr>
              </a:solidFill>
              <a:ln w="19050">
                <a:solidFill>
                  <a:schemeClr val="lt1"/>
                </a:solidFill>
              </a:ln>
              <a:effectLst/>
            </c:spPr>
            <c:extLst>
              <c:ext xmlns:c16="http://schemas.microsoft.com/office/drawing/2014/chart" uri="{C3380CC4-5D6E-409C-BE32-E72D297353CC}">
                <c16:uniqueId val="{0000006F-32DD-4B46-ADBC-B7C1200C092C}"/>
              </c:ext>
            </c:extLst>
          </c:dPt>
          <c:dPt>
            <c:idx val="6"/>
            <c:bubble3D val="0"/>
            <c:spPr>
              <a:solidFill>
                <a:schemeClr val="accent1">
                  <a:shade val="94000"/>
                </a:schemeClr>
              </a:solidFill>
              <a:ln w="19050">
                <a:solidFill>
                  <a:schemeClr val="lt1"/>
                </a:solidFill>
              </a:ln>
              <a:effectLst/>
            </c:spPr>
            <c:extLst>
              <c:ext xmlns:c16="http://schemas.microsoft.com/office/drawing/2014/chart" uri="{C3380CC4-5D6E-409C-BE32-E72D297353CC}">
                <c16:uniqueId val="{00000071-32DD-4B46-ADBC-B7C1200C092C}"/>
              </c:ext>
            </c:extLst>
          </c:dPt>
          <c:dPt>
            <c:idx val="7"/>
            <c:bubble3D val="0"/>
            <c:spPr>
              <a:solidFill>
                <a:schemeClr val="accent1">
                  <a:shade val="83000"/>
                </a:schemeClr>
              </a:solidFill>
              <a:ln w="19050">
                <a:solidFill>
                  <a:schemeClr val="lt1"/>
                </a:solidFill>
              </a:ln>
              <a:effectLst/>
            </c:spPr>
            <c:extLst>
              <c:ext xmlns:c16="http://schemas.microsoft.com/office/drawing/2014/chart" uri="{C3380CC4-5D6E-409C-BE32-E72D297353CC}">
                <c16:uniqueId val="{00000073-32DD-4B46-ADBC-B7C1200C092C}"/>
              </c:ext>
            </c:extLst>
          </c:dPt>
          <c:dPt>
            <c:idx val="8"/>
            <c:bubble3D val="0"/>
            <c:spPr>
              <a:solidFill>
                <a:schemeClr val="accent1">
                  <a:shade val="73000"/>
                </a:schemeClr>
              </a:solidFill>
              <a:ln w="19050">
                <a:solidFill>
                  <a:schemeClr val="lt1"/>
                </a:solidFill>
              </a:ln>
              <a:effectLst/>
            </c:spPr>
            <c:extLst>
              <c:ext xmlns:c16="http://schemas.microsoft.com/office/drawing/2014/chart" uri="{C3380CC4-5D6E-409C-BE32-E72D297353CC}">
                <c16:uniqueId val="{00000075-32DD-4B46-ADBC-B7C1200C092C}"/>
              </c:ext>
            </c:extLst>
          </c:dPt>
          <c:dPt>
            <c:idx val="9"/>
            <c:bubble3D val="0"/>
            <c:spPr>
              <a:solidFill>
                <a:schemeClr val="accent1">
                  <a:shade val="62000"/>
                </a:schemeClr>
              </a:solidFill>
              <a:ln w="19050">
                <a:solidFill>
                  <a:schemeClr val="lt1"/>
                </a:solidFill>
              </a:ln>
              <a:effectLst/>
            </c:spPr>
            <c:extLst>
              <c:ext xmlns:c16="http://schemas.microsoft.com/office/drawing/2014/chart" uri="{C3380CC4-5D6E-409C-BE32-E72D297353CC}">
                <c16:uniqueId val="{00000077-32DD-4B46-ADBC-B7C1200C092C}"/>
              </c:ext>
            </c:extLst>
          </c:dPt>
          <c:dPt>
            <c:idx val="10"/>
            <c:bubble3D val="0"/>
            <c:spPr>
              <a:solidFill>
                <a:schemeClr val="accent1">
                  <a:shade val="51000"/>
                </a:schemeClr>
              </a:solidFill>
              <a:ln w="19050">
                <a:solidFill>
                  <a:schemeClr val="lt1"/>
                </a:solidFill>
              </a:ln>
              <a:effectLst/>
            </c:spPr>
            <c:extLst>
              <c:ext xmlns:c16="http://schemas.microsoft.com/office/drawing/2014/chart" uri="{C3380CC4-5D6E-409C-BE32-E72D297353CC}">
                <c16:uniqueId val="{00000079-32DD-4B46-ADBC-B7C1200C092C}"/>
              </c:ext>
            </c:extLst>
          </c:dPt>
          <c:dPt>
            <c:idx val="11"/>
            <c:bubble3D val="0"/>
            <c:spPr>
              <a:solidFill>
                <a:schemeClr val="accent1">
                  <a:shade val="40000"/>
                </a:schemeClr>
              </a:solidFill>
              <a:ln w="19050">
                <a:solidFill>
                  <a:schemeClr val="lt1"/>
                </a:solidFill>
              </a:ln>
              <a:effectLst/>
            </c:spPr>
            <c:extLst>
              <c:ext xmlns:c16="http://schemas.microsoft.com/office/drawing/2014/chart" uri="{C3380CC4-5D6E-409C-BE32-E72D297353CC}">
                <c16:uniqueId val="{0000007B-32DD-4B46-ADBC-B7C1200C092C}"/>
              </c:ext>
            </c:extLst>
          </c:dPt>
          <c:cat>
            <c:multiLvlStrRef>
              <c:f>Sheet1!$V$192:$V$208</c:f>
              <c:multiLvlStrCache>
                <c:ptCount val="12"/>
                <c:lvl>
                  <c:pt idx="0">
                    <c:v>Female</c:v>
                  </c:pt>
                  <c:pt idx="1">
                    <c:v>Male</c:v>
                  </c:pt>
                  <c:pt idx="2">
                    <c:v>Other</c:v>
                  </c:pt>
                  <c:pt idx="3">
                    <c:v>Female</c:v>
                  </c:pt>
                  <c:pt idx="4">
                    <c:v>Male</c:v>
                  </c:pt>
                  <c:pt idx="5">
                    <c:v>Other</c:v>
                  </c:pt>
                  <c:pt idx="6">
                    <c:v>Female</c:v>
                  </c:pt>
                  <c:pt idx="7">
                    <c:v>Male</c:v>
                  </c:pt>
                  <c:pt idx="8">
                    <c:v>Other</c:v>
                  </c:pt>
                  <c:pt idx="9">
                    <c:v>Female</c:v>
                  </c:pt>
                  <c:pt idx="10">
                    <c:v>Male</c:v>
                  </c:pt>
                  <c:pt idx="11">
                    <c:v>Other</c:v>
                  </c:pt>
                </c:lvl>
                <c:lvl>
                  <c:pt idx="0">
                    <c:v>East</c:v>
                  </c:pt>
                  <c:pt idx="3">
                    <c:v>North</c:v>
                  </c:pt>
                  <c:pt idx="6">
                    <c:v>South</c:v>
                  </c:pt>
                  <c:pt idx="9">
                    <c:v>West</c:v>
                  </c:pt>
                </c:lvl>
              </c:multiLvlStrCache>
            </c:multiLvlStrRef>
          </c:cat>
          <c:val>
            <c:numRef>
              <c:f>Sheet1!$AA$192:$AA$208</c:f>
              <c:numCache>
                <c:formatCode>0.00</c:formatCode>
                <c:ptCount val="12"/>
                <c:pt idx="2">
                  <c:v>7700</c:v>
                </c:pt>
                <c:pt idx="7">
                  <c:v>4600</c:v>
                </c:pt>
                <c:pt idx="8">
                  <c:v>4200</c:v>
                </c:pt>
                <c:pt idx="10">
                  <c:v>6500</c:v>
                </c:pt>
              </c:numCache>
            </c:numRef>
          </c:val>
          <c:extLst>
            <c:ext xmlns:c16="http://schemas.microsoft.com/office/drawing/2014/chart" uri="{C3380CC4-5D6E-409C-BE32-E72D297353CC}">
              <c16:uniqueId val="{0000007C-32DD-4B46-ADBC-B7C1200C092C}"/>
            </c:ext>
          </c:extLst>
        </c:ser>
        <c:ser>
          <c:idx val="5"/>
          <c:order val="5"/>
          <c:tx>
            <c:strRef>
              <c:f>Sheet1!$AB$190:$AB$191</c:f>
              <c:strCache>
                <c:ptCount val="1"/>
                <c:pt idx="0">
                  <c:v>Sports</c:v>
                </c:pt>
              </c:strCache>
            </c:strRef>
          </c:tx>
          <c:dPt>
            <c:idx val="0"/>
            <c:bubble3D val="0"/>
            <c:spPr>
              <a:solidFill>
                <a:schemeClr val="accent1">
                  <a:tint val="41000"/>
                </a:schemeClr>
              </a:solidFill>
              <a:ln w="19050">
                <a:solidFill>
                  <a:schemeClr val="lt1"/>
                </a:solidFill>
              </a:ln>
              <a:effectLst/>
            </c:spPr>
            <c:extLst>
              <c:ext xmlns:c16="http://schemas.microsoft.com/office/drawing/2014/chart" uri="{C3380CC4-5D6E-409C-BE32-E72D297353CC}">
                <c16:uniqueId val="{0000007E-32DD-4B46-ADBC-B7C1200C092C}"/>
              </c:ext>
            </c:extLst>
          </c:dPt>
          <c:dPt>
            <c:idx val="1"/>
            <c:bubble3D val="0"/>
            <c:spPr>
              <a:solidFill>
                <a:schemeClr val="accent1">
                  <a:tint val="52000"/>
                </a:schemeClr>
              </a:solidFill>
              <a:ln w="19050">
                <a:solidFill>
                  <a:schemeClr val="lt1"/>
                </a:solidFill>
              </a:ln>
              <a:effectLst/>
            </c:spPr>
            <c:extLst>
              <c:ext xmlns:c16="http://schemas.microsoft.com/office/drawing/2014/chart" uri="{C3380CC4-5D6E-409C-BE32-E72D297353CC}">
                <c16:uniqueId val="{00000080-32DD-4B46-ADBC-B7C1200C092C}"/>
              </c:ext>
            </c:extLst>
          </c:dPt>
          <c:dPt>
            <c:idx val="2"/>
            <c:bubble3D val="0"/>
            <c:spPr>
              <a:solidFill>
                <a:schemeClr val="accent1">
                  <a:tint val="63000"/>
                </a:schemeClr>
              </a:solidFill>
              <a:ln w="19050">
                <a:solidFill>
                  <a:schemeClr val="lt1"/>
                </a:solidFill>
              </a:ln>
              <a:effectLst/>
            </c:spPr>
            <c:extLst>
              <c:ext xmlns:c16="http://schemas.microsoft.com/office/drawing/2014/chart" uri="{C3380CC4-5D6E-409C-BE32-E72D297353CC}">
                <c16:uniqueId val="{00000082-32DD-4B46-ADBC-B7C1200C092C}"/>
              </c:ext>
            </c:extLst>
          </c:dPt>
          <c:dPt>
            <c:idx val="3"/>
            <c:bubble3D val="0"/>
            <c:spPr>
              <a:solidFill>
                <a:schemeClr val="accent1">
                  <a:tint val="74000"/>
                </a:schemeClr>
              </a:solidFill>
              <a:ln w="19050">
                <a:solidFill>
                  <a:schemeClr val="lt1"/>
                </a:solidFill>
              </a:ln>
              <a:effectLst/>
            </c:spPr>
            <c:extLst>
              <c:ext xmlns:c16="http://schemas.microsoft.com/office/drawing/2014/chart" uri="{C3380CC4-5D6E-409C-BE32-E72D297353CC}">
                <c16:uniqueId val="{00000084-32DD-4B46-ADBC-B7C1200C092C}"/>
              </c:ext>
            </c:extLst>
          </c:dPt>
          <c:dPt>
            <c:idx val="4"/>
            <c:bubble3D val="0"/>
            <c:spPr>
              <a:solidFill>
                <a:schemeClr val="accent1">
                  <a:tint val="84000"/>
                </a:schemeClr>
              </a:solidFill>
              <a:ln w="19050">
                <a:solidFill>
                  <a:schemeClr val="lt1"/>
                </a:solidFill>
              </a:ln>
              <a:effectLst/>
            </c:spPr>
            <c:extLst>
              <c:ext xmlns:c16="http://schemas.microsoft.com/office/drawing/2014/chart" uri="{C3380CC4-5D6E-409C-BE32-E72D297353CC}">
                <c16:uniqueId val="{00000086-32DD-4B46-ADBC-B7C1200C092C}"/>
              </c:ext>
            </c:extLst>
          </c:dPt>
          <c:dPt>
            <c:idx val="5"/>
            <c:bubble3D val="0"/>
            <c:spPr>
              <a:solidFill>
                <a:schemeClr val="accent1">
                  <a:tint val="95000"/>
                </a:schemeClr>
              </a:solidFill>
              <a:ln w="19050">
                <a:solidFill>
                  <a:schemeClr val="lt1"/>
                </a:solidFill>
              </a:ln>
              <a:effectLst/>
            </c:spPr>
            <c:extLst>
              <c:ext xmlns:c16="http://schemas.microsoft.com/office/drawing/2014/chart" uri="{C3380CC4-5D6E-409C-BE32-E72D297353CC}">
                <c16:uniqueId val="{00000088-32DD-4B46-ADBC-B7C1200C092C}"/>
              </c:ext>
            </c:extLst>
          </c:dPt>
          <c:dPt>
            <c:idx val="6"/>
            <c:bubble3D val="0"/>
            <c:spPr>
              <a:solidFill>
                <a:schemeClr val="accent1">
                  <a:shade val="94000"/>
                </a:schemeClr>
              </a:solidFill>
              <a:ln w="19050">
                <a:solidFill>
                  <a:schemeClr val="lt1"/>
                </a:solidFill>
              </a:ln>
              <a:effectLst/>
            </c:spPr>
            <c:extLst>
              <c:ext xmlns:c16="http://schemas.microsoft.com/office/drawing/2014/chart" uri="{C3380CC4-5D6E-409C-BE32-E72D297353CC}">
                <c16:uniqueId val="{0000008A-32DD-4B46-ADBC-B7C1200C092C}"/>
              </c:ext>
            </c:extLst>
          </c:dPt>
          <c:dPt>
            <c:idx val="7"/>
            <c:bubble3D val="0"/>
            <c:spPr>
              <a:solidFill>
                <a:schemeClr val="accent1">
                  <a:shade val="83000"/>
                </a:schemeClr>
              </a:solidFill>
              <a:ln w="19050">
                <a:solidFill>
                  <a:schemeClr val="lt1"/>
                </a:solidFill>
              </a:ln>
              <a:effectLst/>
            </c:spPr>
            <c:extLst>
              <c:ext xmlns:c16="http://schemas.microsoft.com/office/drawing/2014/chart" uri="{C3380CC4-5D6E-409C-BE32-E72D297353CC}">
                <c16:uniqueId val="{0000008C-32DD-4B46-ADBC-B7C1200C092C}"/>
              </c:ext>
            </c:extLst>
          </c:dPt>
          <c:dPt>
            <c:idx val="8"/>
            <c:bubble3D val="0"/>
            <c:spPr>
              <a:solidFill>
                <a:schemeClr val="accent1">
                  <a:shade val="73000"/>
                </a:schemeClr>
              </a:solidFill>
              <a:ln w="19050">
                <a:solidFill>
                  <a:schemeClr val="lt1"/>
                </a:solidFill>
              </a:ln>
              <a:effectLst/>
            </c:spPr>
            <c:extLst>
              <c:ext xmlns:c16="http://schemas.microsoft.com/office/drawing/2014/chart" uri="{C3380CC4-5D6E-409C-BE32-E72D297353CC}">
                <c16:uniqueId val="{0000008E-32DD-4B46-ADBC-B7C1200C092C}"/>
              </c:ext>
            </c:extLst>
          </c:dPt>
          <c:dPt>
            <c:idx val="9"/>
            <c:bubble3D val="0"/>
            <c:spPr>
              <a:solidFill>
                <a:schemeClr val="accent1">
                  <a:shade val="62000"/>
                </a:schemeClr>
              </a:solidFill>
              <a:ln w="19050">
                <a:solidFill>
                  <a:schemeClr val="lt1"/>
                </a:solidFill>
              </a:ln>
              <a:effectLst/>
            </c:spPr>
            <c:extLst>
              <c:ext xmlns:c16="http://schemas.microsoft.com/office/drawing/2014/chart" uri="{C3380CC4-5D6E-409C-BE32-E72D297353CC}">
                <c16:uniqueId val="{00000090-32DD-4B46-ADBC-B7C1200C092C}"/>
              </c:ext>
            </c:extLst>
          </c:dPt>
          <c:dPt>
            <c:idx val="10"/>
            <c:bubble3D val="0"/>
            <c:spPr>
              <a:solidFill>
                <a:schemeClr val="accent1">
                  <a:shade val="51000"/>
                </a:schemeClr>
              </a:solidFill>
              <a:ln w="19050">
                <a:solidFill>
                  <a:schemeClr val="lt1"/>
                </a:solidFill>
              </a:ln>
              <a:effectLst/>
            </c:spPr>
            <c:extLst>
              <c:ext xmlns:c16="http://schemas.microsoft.com/office/drawing/2014/chart" uri="{C3380CC4-5D6E-409C-BE32-E72D297353CC}">
                <c16:uniqueId val="{00000092-32DD-4B46-ADBC-B7C1200C092C}"/>
              </c:ext>
            </c:extLst>
          </c:dPt>
          <c:dPt>
            <c:idx val="11"/>
            <c:bubble3D val="0"/>
            <c:spPr>
              <a:solidFill>
                <a:schemeClr val="accent1">
                  <a:shade val="40000"/>
                </a:schemeClr>
              </a:solidFill>
              <a:ln w="19050">
                <a:solidFill>
                  <a:schemeClr val="lt1"/>
                </a:solidFill>
              </a:ln>
              <a:effectLst/>
            </c:spPr>
            <c:extLst>
              <c:ext xmlns:c16="http://schemas.microsoft.com/office/drawing/2014/chart" uri="{C3380CC4-5D6E-409C-BE32-E72D297353CC}">
                <c16:uniqueId val="{00000094-32DD-4B46-ADBC-B7C1200C092C}"/>
              </c:ext>
            </c:extLst>
          </c:dPt>
          <c:cat>
            <c:multiLvlStrRef>
              <c:f>Sheet1!$V$192:$V$208</c:f>
              <c:multiLvlStrCache>
                <c:ptCount val="12"/>
                <c:lvl>
                  <c:pt idx="0">
                    <c:v>Female</c:v>
                  </c:pt>
                  <c:pt idx="1">
                    <c:v>Male</c:v>
                  </c:pt>
                  <c:pt idx="2">
                    <c:v>Other</c:v>
                  </c:pt>
                  <c:pt idx="3">
                    <c:v>Female</c:v>
                  </c:pt>
                  <c:pt idx="4">
                    <c:v>Male</c:v>
                  </c:pt>
                  <c:pt idx="5">
                    <c:v>Other</c:v>
                  </c:pt>
                  <c:pt idx="6">
                    <c:v>Female</c:v>
                  </c:pt>
                  <c:pt idx="7">
                    <c:v>Male</c:v>
                  </c:pt>
                  <c:pt idx="8">
                    <c:v>Other</c:v>
                  </c:pt>
                  <c:pt idx="9">
                    <c:v>Female</c:v>
                  </c:pt>
                  <c:pt idx="10">
                    <c:v>Male</c:v>
                  </c:pt>
                  <c:pt idx="11">
                    <c:v>Other</c:v>
                  </c:pt>
                </c:lvl>
                <c:lvl>
                  <c:pt idx="0">
                    <c:v>East</c:v>
                  </c:pt>
                  <c:pt idx="3">
                    <c:v>North</c:v>
                  </c:pt>
                  <c:pt idx="6">
                    <c:v>South</c:v>
                  </c:pt>
                  <c:pt idx="9">
                    <c:v>West</c:v>
                  </c:pt>
                </c:lvl>
              </c:multiLvlStrCache>
            </c:multiLvlStrRef>
          </c:cat>
          <c:val>
            <c:numRef>
              <c:f>Sheet1!$AB$192:$AB$208</c:f>
              <c:numCache>
                <c:formatCode>0.00</c:formatCode>
                <c:ptCount val="12"/>
                <c:pt idx="2">
                  <c:v>5200</c:v>
                </c:pt>
                <c:pt idx="3">
                  <c:v>8800</c:v>
                </c:pt>
                <c:pt idx="5">
                  <c:v>12500</c:v>
                </c:pt>
                <c:pt idx="7">
                  <c:v>4700</c:v>
                </c:pt>
                <c:pt idx="8">
                  <c:v>3800</c:v>
                </c:pt>
                <c:pt idx="9">
                  <c:v>5600</c:v>
                </c:pt>
                <c:pt idx="10">
                  <c:v>7000</c:v>
                </c:pt>
                <c:pt idx="11">
                  <c:v>3700</c:v>
                </c:pt>
              </c:numCache>
            </c:numRef>
          </c:val>
          <c:extLst>
            <c:ext xmlns:c16="http://schemas.microsoft.com/office/drawing/2014/chart" uri="{C3380CC4-5D6E-409C-BE32-E72D297353CC}">
              <c16:uniqueId val="{00000095-32DD-4B46-ADBC-B7C1200C092C}"/>
            </c:ext>
          </c:extLst>
        </c:ser>
        <c:ser>
          <c:idx val="6"/>
          <c:order val="6"/>
          <c:tx>
            <c:strRef>
              <c:f>Sheet1!$AC$190:$AC$191</c:f>
              <c:strCache>
                <c:ptCount val="1"/>
                <c:pt idx="0">
                  <c:v>Toys</c:v>
                </c:pt>
              </c:strCache>
            </c:strRef>
          </c:tx>
          <c:dPt>
            <c:idx val="0"/>
            <c:bubble3D val="0"/>
            <c:spPr>
              <a:solidFill>
                <a:schemeClr val="accent1">
                  <a:tint val="41000"/>
                </a:schemeClr>
              </a:solidFill>
              <a:ln w="19050">
                <a:solidFill>
                  <a:schemeClr val="lt1"/>
                </a:solidFill>
              </a:ln>
              <a:effectLst/>
            </c:spPr>
            <c:extLst>
              <c:ext xmlns:c16="http://schemas.microsoft.com/office/drawing/2014/chart" uri="{C3380CC4-5D6E-409C-BE32-E72D297353CC}">
                <c16:uniqueId val="{00000097-32DD-4B46-ADBC-B7C1200C092C}"/>
              </c:ext>
            </c:extLst>
          </c:dPt>
          <c:dPt>
            <c:idx val="1"/>
            <c:bubble3D val="0"/>
            <c:spPr>
              <a:solidFill>
                <a:schemeClr val="accent1">
                  <a:tint val="52000"/>
                </a:schemeClr>
              </a:solidFill>
              <a:ln w="19050">
                <a:solidFill>
                  <a:schemeClr val="lt1"/>
                </a:solidFill>
              </a:ln>
              <a:effectLst/>
            </c:spPr>
            <c:extLst>
              <c:ext xmlns:c16="http://schemas.microsoft.com/office/drawing/2014/chart" uri="{C3380CC4-5D6E-409C-BE32-E72D297353CC}">
                <c16:uniqueId val="{00000099-32DD-4B46-ADBC-B7C1200C092C}"/>
              </c:ext>
            </c:extLst>
          </c:dPt>
          <c:dPt>
            <c:idx val="2"/>
            <c:bubble3D val="0"/>
            <c:spPr>
              <a:solidFill>
                <a:schemeClr val="accent1">
                  <a:tint val="63000"/>
                </a:schemeClr>
              </a:solidFill>
              <a:ln w="19050">
                <a:solidFill>
                  <a:schemeClr val="lt1"/>
                </a:solidFill>
              </a:ln>
              <a:effectLst/>
            </c:spPr>
            <c:extLst>
              <c:ext xmlns:c16="http://schemas.microsoft.com/office/drawing/2014/chart" uri="{C3380CC4-5D6E-409C-BE32-E72D297353CC}">
                <c16:uniqueId val="{0000009B-32DD-4B46-ADBC-B7C1200C092C}"/>
              </c:ext>
            </c:extLst>
          </c:dPt>
          <c:dPt>
            <c:idx val="3"/>
            <c:bubble3D val="0"/>
            <c:spPr>
              <a:solidFill>
                <a:schemeClr val="accent1">
                  <a:tint val="74000"/>
                </a:schemeClr>
              </a:solidFill>
              <a:ln w="19050">
                <a:solidFill>
                  <a:schemeClr val="lt1"/>
                </a:solidFill>
              </a:ln>
              <a:effectLst/>
            </c:spPr>
            <c:extLst>
              <c:ext xmlns:c16="http://schemas.microsoft.com/office/drawing/2014/chart" uri="{C3380CC4-5D6E-409C-BE32-E72D297353CC}">
                <c16:uniqueId val="{0000009D-32DD-4B46-ADBC-B7C1200C092C}"/>
              </c:ext>
            </c:extLst>
          </c:dPt>
          <c:dPt>
            <c:idx val="4"/>
            <c:bubble3D val="0"/>
            <c:spPr>
              <a:solidFill>
                <a:schemeClr val="accent1">
                  <a:tint val="84000"/>
                </a:schemeClr>
              </a:solidFill>
              <a:ln w="19050">
                <a:solidFill>
                  <a:schemeClr val="lt1"/>
                </a:solidFill>
              </a:ln>
              <a:effectLst/>
            </c:spPr>
            <c:extLst>
              <c:ext xmlns:c16="http://schemas.microsoft.com/office/drawing/2014/chart" uri="{C3380CC4-5D6E-409C-BE32-E72D297353CC}">
                <c16:uniqueId val="{0000009F-32DD-4B46-ADBC-B7C1200C092C}"/>
              </c:ext>
            </c:extLst>
          </c:dPt>
          <c:dPt>
            <c:idx val="5"/>
            <c:bubble3D val="0"/>
            <c:spPr>
              <a:solidFill>
                <a:schemeClr val="accent1">
                  <a:tint val="95000"/>
                </a:schemeClr>
              </a:solidFill>
              <a:ln w="19050">
                <a:solidFill>
                  <a:schemeClr val="lt1"/>
                </a:solidFill>
              </a:ln>
              <a:effectLst/>
            </c:spPr>
            <c:extLst>
              <c:ext xmlns:c16="http://schemas.microsoft.com/office/drawing/2014/chart" uri="{C3380CC4-5D6E-409C-BE32-E72D297353CC}">
                <c16:uniqueId val="{000000A1-32DD-4B46-ADBC-B7C1200C092C}"/>
              </c:ext>
            </c:extLst>
          </c:dPt>
          <c:dPt>
            <c:idx val="6"/>
            <c:bubble3D val="0"/>
            <c:spPr>
              <a:solidFill>
                <a:schemeClr val="accent1">
                  <a:shade val="94000"/>
                </a:schemeClr>
              </a:solidFill>
              <a:ln w="19050">
                <a:solidFill>
                  <a:schemeClr val="lt1"/>
                </a:solidFill>
              </a:ln>
              <a:effectLst/>
            </c:spPr>
            <c:extLst>
              <c:ext xmlns:c16="http://schemas.microsoft.com/office/drawing/2014/chart" uri="{C3380CC4-5D6E-409C-BE32-E72D297353CC}">
                <c16:uniqueId val="{000000A3-32DD-4B46-ADBC-B7C1200C092C}"/>
              </c:ext>
            </c:extLst>
          </c:dPt>
          <c:dPt>
            <c:idx val="7"/>
            <c:bubble3D val="0"/>
            <c:spPr>
              <a:solidFill>
                <a:schemeClr val="accent1">
                  <a:shade val="83000"/>
                </a:schemeClr>
              </a:solidFill>
              <a:ln w="19050">
                <a:solidFill>
                  <a:schemeClr val="lt1"/>
                </a:solidFill>
              </a:ln>
              <a:effectLst/>
            </c:spPr>
            <c:extLst>
              <c:ext xmlns:c16="http://schemas.microsoft.com/office/drawing/2014/chart" uri="{C3380CC4-5D6E-409C-BE32-E72D297353CC}">
                <c16:uniqueId val="{000000A5-32DD-4B46-ADBC-B7C1200C092C}"/>
              </c:ext>
            </c:extLst>
          </c:dPt>
          <c:dPt>
            <c:idx val="8"/>
            <c:bubble3D val="0"/>
            <c:spPr>
              <a:solidFill>
                <a:schemeClr val="accent1">
                  <a:shade val="73000"/>
                </a:schemeClr>
              </a:solidFill>
              <a:ln w="19050">
                <a:solidFill>
                  <a:schemeClr val="lt1"/>
                </a:solidFill>
              </a:ln>
              <a:effectLst/>
            </c:spPr>
            <c:extLst>
              <c:ext xmlns:c16="http://schemas.microsoft.com/office/drawing/2014/chart" uri="{C3380CC4-5D6E-409C-BE32-E72D297353CC}">
                <c16:uniqueId val="{000000A7-32DD-4B46-ADBC-B7C1200C092C}"/>
              </c:ext>
            </c:extLst>
          </c:dPt>
          <c:dPt>
            <c:idx val="9"/>
            <c:bubble3D val="0"/>
            <c:spPr>
              <a:solidFill>
                <a:schemeClr val="accent1">
                  <a:shade val="62000"/>
                </a:schemeClr>
              </a:solidFill>
              <a:ln w="19050">
                <a:solidFill>
                  <a:schemeClr val="lt1"/>
                </a:solidFill>
              </a:ln>
              <a:effectLst/>
            </c:spPr>
            <c:extLst>
              <c:ext xmlns:c16="http://schemas.microsoft.com/office/drawing/2014/chart" uri="{C3380CC4-5D6E-409C-BE32-E72D297353CC}">
                <c16:uniqueId val="{000000A9-32DD-4B46-ADBC-B7C1200C092C}"/>
              </c:ext>
            </c:extLst>
          </c:dPt>
          <c:dPt>
            <c:idx val="10"/>
            <c:bubble3D val="0"/>
            <c:spPr>
              <a:solidFill>
                <a:schemeClr val="accent1">
                  <a:shade val="51000"/>
                </a:schemeClr>
              </a:solidFill>
              <a:ln w="19050">
                <a:solidFill>
                  <a:schemeClr val="lt1"/>
                </a:solidFill>
              </a:ln>
              <a:effectLst/>
            </c:spPr>
            <c:extLst>
              <c:ext xmlns:c16="http://schemas.microsoft.com/office/drawing/2014/chart" uri="{C3380CC4-5D6E-409C-BE32-E72D297353CC}">
                <c16:uniqueId val="{000000AB-32DD-4B46-ADBC-B7C1200C092C}"/>
              </c:ext>
            </c:extLst>
          </c:dPt>
          <c:dPt>
            <c:idx val="11"/>
            <c:bubble3D val="0"/>
            <c:spPr>
              <a:solidFill>
                <a:schemeClr val="accent1">
                  <a:shade val="40000"/>
                </a:schemeClr>
              </a:solidFill>
              <a:ln w="19050">
                <a:solidFill>
                  <a:schemeClr val="lt1"/>
                </a:solidFill>
              </a:ln>
              <a:effectLst/>
            </c:spPr>
            <c:extLst>
              <c:ext xmlns:c16="http://schemas.microsoft.com/office/drawing/2014/chart" uri="{C3380CC4-5D6E-409C-BE32-E72D297353CC}">
                <c16:uniqueId val="{000000AD-32DD-4B46-ADBC-B7C1200C092C}"/>
              </c:ext>
            </c:extLst>
          </c:dPt>
          <c:cat>
            <c:multiLvlStrRef>
              <c:f>Sheet1!$V$192:$V$208</c:f>
              <c:multiLvlStrCache>
                <c:ptCount val="12"/>
                <c:lvl>
                  <c:pt idx="0">
                    <c:v>Female</c:v>
                  </c:pt>
                  <c:pt idx="1">
                    <c:v>Male</c:v>
                  </c:pt>
                  <c:pt idx="2">
                    <c:v>Other</c:v>
                  </c:pt>
                  <c:pt idx="3">
                    <c:v>Female</c:v>
                  </c:pt>
                  <c:pt idx="4">
                    <c:v>Male</c:v>
                  </c:pt>
                  <c:pt idx="5">
                    <c:v>Other</c:v>
                  </c:pt>
                  <c:pt idx="6">
                    <c:v>Female</c:v>
                  </c:pt>
                  <c:pt idx="7">
                    <c:v>Male</c:v>
                  </c:pt>
                  <c:pt idx="8">
                    <c:v>Other</c:v>
                  </c:pt>
                  <c:pt idx="9">
                    <c:v>Female</c:v>
                  </c:pt>
                  <c:pt idx="10">
                    <c:v>Male</c:v>
                  </c:pt>
                  <c:pt idx="11">
                    <c:v>Other</c:v>
                  </c:pt>
                </c:lvl>
                <c:lvl>
                  <c:pt idx="0">
                    <c:v>East</c:v>
                  </c:pt>
                  <c:pt idx="3">
                    <c:v>North</c:v>
                  </c:pt>
                  <c:pt idx="6">
                    <c:v>South</c:v>
                  </c:pt>
                  <c:pt idx="9">
                    <c:v>West</c:v>
                  </c:pt>
                </c:lvl>
              </c:multiLvlStrCache>
            </c:multiLvlStrRef>
          </c:cat>
          <c:val>
            <c:numRef>
              <c:f>Sheet1!$AC$192:$AC$208</c:f>
              <c:numCache>
                <c:formatCode>0.00</c:formatCode>
                <c:ptCount val="12"/>
                <c:pt idx="0">
                  <c:v>6100</c:v>
                </c:pt>
                <c:pt idx="2">
                  <c:v>8700</c:v>
                </c:pt>
                <c:pt idx="4">
                  <c:v>14000</c:v>
                </c:pt>
                <c:pt idx="6">
                  <c:v>2200</c:v>
                </c:pt>
                <c:pt idx="9">
                  <c:v>3900</c:v>
                </c:pt>
                <c:pt idx="11">
                  <c:v>10900</c:v>
                </c:pt>
              </c:numCache>
            </c:numRef>
          </c:val>
          <c:extLst>
            <c:ext xmlns:c16="http://schemas.microsoft.com/office/drawing/2014/chart" uri="{C3380CC4-5D6E-409C-BE32-E72D297353CC}">
              <c16:uniqueId val="{000000AE-32DD-4B46-ADBC-B7C1200C092C}"/>
            </c:ext>
          </c:extLst>
        </c:ser>
        <c:dLbls>
          <c:showLegendKey val="0"/>
          <c:showVal val="0"/>
          <c:showCatName val="0"/>
          <c:showSerName val="0"/>
          <c:showPercent val="0"/>
          <c:showBubbleSize val="0"/>
          <c:showLeaderLines val="1"/>
        </c:dLbls>
        <c:firstSliceAng val="36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pivotSource>
    <c:name>[day-2.xlsx]Sheet1!PivotTable2</c:name>
    <c:fmtId val="27"/>
  </c:pivotSource>
  <c:chart>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dLbl>
          <c:idx val="0"/>
          <c:showLegendKey val="0"/>
          <c:showVal val="0"/>
          <c:showCatName val="0"/>
          <c:showSerName val="0"/>
          <c:showPercent val="0"/>
          <c:showBubbleSize val="0"/>
          <c:extLst>
            <c:ext xmlns:c15="http://schemas.microsoft.com/office/drawing/2012/chart" uri="{CE6537A1-D6FC-4f65-9D91-7224C49458BB}"/>
          </c:extLst>
        </c:dLbl>
      </c:pivotFmt>
      <c:pivotFmt>
        <c:idx val="5"/>
        <c:dLbl>
          <c:idx val="0"/>
          <c:showLegendKey val="0"/>
          <c:showVal val="0"/>
          <c:showCatName val="0"/>
          <c:showSerName val="0"/>
          <c:showPercent val="0"/>
          <c:showBubbleSize val="0"/>
          <c:extLst>
            <c:ext xmlns:c15="http://schemas.microsoft.com/office/drawing/2012/chart" uri="{CE6537A1-D6FC-4f65-9D91-7224C49458BB}"/>
          </c:extLst>
        </c:dLbl>
      </c:pivotFmt>
      <c:pivotFmt>
        <c:idx val="6"/>
        <c:dLbl>
          <c:idx val="0"/>
          <c:showLegendKey val="0"/>
          <c:showVal val="0"/>
          <c:showCatName val="0"/>
          <c:showSerName val="0"/>
          <c:showPercent val="0"/>
          <c:showBubbleSize val="0"/>
          <c:extLst>
            <c:ext xmlns:c15="http://schemas.microsoft.com/office/drawing/2012/chart" uri="{CE6537A1-D6FC-4f65-9D91-7224C49458BB}"/>
          </c:extLst>
        </c:dLbl>
      </c:pivotFmt>
      <c:pivotFmt>
        <c:idx val="7"/>
        <c:dLbl>
          <c:idx val="0"/>
          <c:showLegendKey val="0"/>
          <c:showVal val="0"/>
          <c:showCatName val="0"/>
          <c:showSerName val="0"/>
          <c:showPercent val="0"/>
          <c:showBubbleSize val="0"/>
          <c:extLst>
            <c:ext xmlns:c15="http://schemas.microsoft.com/office/drawing/2012/chart" uri="{CE6537A1-D6FC-4f65-9D91-7224C49458BB}"/>
          </c:extLst>
        </c:dLbl>
      </c:pivotFmt>
      <c:pivotFmt>
        <c:idx val="8"/>
        <c:dLbl>
          <c:idx val="0"/>
          <c:showLegendKey val="0"/>
          <c:showVal val="0"/>
          <c:showCatName val="0"/>
          <c:showSerName val="0"/>
          <c:showPercent val="0"/>
          <c:showBubbleSize val="0"/>
          <c:extLst>
            <c:ext xmlns:c15="http://schemas.microsoft.com/office/drawing/2012/chart" uri="{CE6537A1-D6FC-4f65-9D91-7224C49458BB}"/>
          </c:extLst>
        </c:dLbl>
      </c:pivotFmt>
      <c:pivotFmt>
        <c:idx val="9"/>
        <c:dLbl>
          <c:idx val="0"/>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a:sp3d/>
        </c:spPr>
        <c:marker>
          <c:symbol val="circle"/>
          <c:size val="5"/>
          <c:spPr>
            <a:solidFill>
              <a:schemeClr val="accent1">
                <a:shade val="53000"/>
              </a:schemeClr>
            </a:solidFill>
            <a:ln w="9525">
              <a:solidFill>
                <a:schemeClr val="accent1">
                  <a:shade val="53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a:sp3d/>
        </c:spPr>
        <c:marker>
          <c:symbol val="circle"/>
          <c:size val="5"/>
          <c:spPr>
            <a:solidFill>
              <a:schemeClr val="accent1">
                <a:shade val="76000"/>
              </a:schemeClr>
            </a:solidFill>
            <a:ln w="9525">
              <a:solidFill>
                <a:schemeClr val="accent1">
                  <a:shade val="76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a:sp3d/>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1"/>
          </a:solidFill>
          <a:ln>
            <a:noFill/>
          </a:ln>
          <a:effectLst/>
          <a:sp3d/>
        </c:spPr>
        <c:marker>
          <c:symbol val="circle"/>
          <c:size val="5"/>
          <c:spPr>
            <a:solidFill>
              <a:schemeClr val="accent1">
                <a:tint val="77000"/>
              </a:schemeClr>
            </a:solidFill>
            <a:ln w="9525">
              <a:solidFill>
                <a:schemeClr val="accent1">
                  <a:tint val="77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
        <c:spPr>
          <a:solidFill>
            <a:schemeClr val="accent1"/>
          </a:solidFill>
          <a:ln>
            <a:noFill/>
          </a:ln>
          <a:effectLst/>
          <a:sp3d/>
        </c:spPr>
        <c:marker>
          <c:symbol val="circle"/>
          <c:size val="5"/>
          <c:spPr>
            <a:solidFill>
              <a:schemeClr val="accent1">
                <a:tint val="54000"/>
              </a:schemeClr>
            </a:solidFill>
            <a:ln w="9525">
              <a:solidFill>
                <a:schemeClr val="accent1">
                  <a:tint val="54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stacked"/>
        <c:varyColors val="0"/>
        <c:ser>
          <c:idx val="0"/>
          <c:order val="0"/>
          <c:tx>
            <c:strRef>
              <c:f>Sheet1!$V$150:$V$151</c:f>
              <c:strCache>
                <c:ptCount val="1"/>
                <c:pt idx="0">
                  <c:v>Bank Transfer</c:v>
                </c:pt>
              </c:strCache>
            </c:strRef>
          </c:tx>
          <c:spPr>
            <a:solidFill>
              <a:schemeClr val="accent1">
                <a:shade val="53000"/>
              </a:schemeClr>
            </a:solidFill>
            <a:ln>
              <a:noFill/>
            </a:ln>
            <a:effectLst/>
            <a:sp3d/>
          </c:spPr>
          <c:invertIfNegative val="0"/>
          <c:cat>
            <c:strRef>
              <c:f>Sheet1!$U$152:$U$158</c:f>
              <c:strCache>
                <c:ptCount val="6"/>
                <c:pt idx="0">
                  <c:v>Books</c:v>
                </c:pt>
                <c:pt idx="1">
                  <c:v>Clothing</c:v>
                </c:pt>
                <c:pt idx="2">
                  <c:v>Electronics</c:v>
                </c:pt>
                <c:pt idx="3">
                  <c:v>Home &amp; Kitchen</c:v>
                </c:pt>
                <c:pt idx="4">
                  <c:v>Sports</c:v>
                </c:pt>
                <c:pt idx="5">
                  <c:v>Toys</c:v>
                </c:pt>
              </c:strCache>
            </c:strRef>
          </c:cat>
          <c:val>
            <c:numRef>
              <c:f>Sheet1!$V$152:$V$158</c:f>
              <c:numCache>
                <c:formatCode>0.00</c:formatCode>
                <c:ptCount val="6"/>
                <c:pt idx="0">
                  <c:v>9000</c:v>
                </c:pt>
                <c:pt idx="2">
                  <c:v>3600</c:v>
                </c:pt>
                <c:pt idx="4">
                  <c:v>15300</c:v>
                </c:pt>
                <c:pt idx="5">
                  <c:v>6200</c:v>
                </c:pt>
              </c:numCache>
            </c:numRef>
          </c:val>
          <c:extLst>
            <c:ext xmlns:c16="http://schemas.microsoft.com/office/drawing/2014/chart" uri="{C3380CC4-5D6E-409C-BE32-E72D297353CC}">
              <c16:uniqueId val="{00000000-8C50-4FF3-81AF-734CF4D59C6A}"/>
            </c:ext>
          </c:extLst>
        </c:ser>
        <c:ser>
          <c:idx val="1"/>
          <c:order val="1"/>
          <c:tx>
            <c:strRef>
              <c:f>Sheet1!$W$150:$W$151</c:f>
              <c:strCache>
                <c:ptCount val="1"/>
                <c:pt idx="0">
                  <c:v>Cash on Delivery</c:v>
                </c:pt>
              </c:strCache>
            </c:strRef>
          </c:tx>
          <c:spPr>
            <a:solidFill>
              <a:schemeClr val="accent1">
                <a:shade val="76000"/>
              </a:schemeClr>
            </a:solidFill>
            <a:ln>
              <a:noFill/>
            </a:ln>
            <a:effectLst/>
            <a:sp3d/>
          </c:spPr>
          <c:invertIfNegative val="0"/>
          <c:cat>
            <c:strRef>
              <c:f>Sheet1!$U$152:$U$158</c:f>
              <c:strCache>
                <c:ptCount val="6"/>
                <c:pt idx="0">
                  <c:v>Books</c:v>
                </c:pt>
                <c:pt idx="1">
                  <c:v>Clothing</c:v>
                </c:pt>
                <c:pt idx="2">
                  <c:v>Electronics</c:v>
                </c:pt>
                <c:pt idx="3">
                  <c:v>Home &amp; Kitchen</c:v>
                </c:pt>
                <c:pt idx="4">
                  <c:v>Sports</c:v>
                </c:pt>
                <c:pt idx="5">
                  <c:v>Toys</c:v>
                </c:pt>
              </c:strCache>
            </c:strRef>
          </c:cat>
          <c:val>
            <c:numRef>
              <c:f>Sheet1!$W$152:$W$158</c:f>
              <c:numCache>
                <c:formatCode>0.00</c:formatCode>
                <c:ptCount val="6"/>
                <c:pt idx="0">
                  <c:v>12100</c:v>
                </c:pt>
                <c:pt idx="1">
                  <c:v>18400</c:v>
                </c:pt>
                <c:pt idx="2">
                  <c:v>8400</c:v>
                </c:pt>
                <c:pt idx="4">
                  <c:v>17800</c:v>
                </c:pt>
                <c:pt idx="5">
                  <c:v>18200</c:v>
                </c:pt>
              </c:numCache>
            </c:numRef>
          </c:val>
          <c:extLst>
            <c:ext xmlns:c16="http://schemas.microsoft.com/office/drawing/2014/chart" uri="{C3380CC4-5D6E-409C-BE32-E72D297353CC}">
              <c16:uniqueId val="{00000008-8C50-4FF3-81AF-734CF4D59C6A}"/>
            </c:ext>
          </c:extLst>
        </c:ser>
        <c:ser>
          <c:idx val="2"/>
          <c:order val="2"/>
          <c:tx>
            <c:strRef>
              <c:f>Sheet1!$X$150:$X$151</c:f>
              <c:strCache>
                <c:ptCount val="1"/>
                <c:pt idx="0">
                  <c:v>Credit Card</c:v>
                </c:pt>
              </c:strCache>
            </c:strRef>
          </c:tx>
          <c:spPr>
            <a:solidFill>
              <a:schemeClr val="accent1"/>
            </a:solidFill>
            <a:ln>
              <a:noFill/>
            </a:ln>
            <a:effectLst/>
            <a:sp3d/>
          </c:spPr>
          <c:invertIfNegative val="0"/>
          <c:cat>
            <c:strRef>
              <c:f>Sheet1!$U$152:$U$158</c:f>
              <c:strCache>
                <c:ptCount val="6"/>
                <c:pt idx="0">
                  <c:v>Books</c:v>
                </c:pt>
                <c:pt idx="1">
                  <c:v>Clothing</c:v>
                </c:pt>
                <c:pt idx="2">
                  <c:v>Electronics</c:v>
                </c:pt>
                <c:pt idx="3">
                  <c:v>Home &amp; Kitchen</c:v>
                </c:pt>
                <c:pt idx="4">
                  <c:v>Sports</c:v>
                </c:pt>
                <c:pt idx="5">
                  <c:v>Toys</c:v>
                </c:pt>
              </c:strCache>
            </c:strRef>
          </c:cat>
          <c:val>
            <c:numRef>
              <c:f>Sheet1!$X$152:$X$158</c:f>
              <c:numCache>
                <c:formatCode>0.00</c:formatCode>
                <c:ptCount val="6"/>
                <c:pt idx="0">
                  <c:v>11300</c:v>
                </c:pt>
                <c:pt idx="2">
                  <c:v>12600</c:v>
                </c:pt>
                <c:pt idx="3">
                  <c:v>14200</c:v>
                </c:pt>
                <c:pt idx="4">
                  <c:v>5600</c:v>
                </c:pt>
                <c:pt idx="5">
                  <c:v>11400</c:v>
                </c:pt>
              </c:numCache>
            </c:numRef>
          </c:val>
          <c:extLst>
            <c:ext xmlns:c16="http://schemas.microsoft.com/office/drawing/2014/chart" uri="{C3380CC4-5D6E-409C-BE32-E72D297353CC}">
              <c16:uniqueId val="{00000009-8C50-4FF3-81AF-734CF4D59C6A}"/>
            </c:ext>
          </c:extLst>
        </c:ser>
        <c:ser>
          <c:idx val="3"/>
          <c:order val="3"/>
          <c:tx>
            <c:strRef>
              <c:f>Sheet1!$Y$150:$Y$151</c:f>
              <c:strCache>
                <c:ptCount val="1"/>
                <c:pt idx="0">
                  <c:v>Debit Card</c:v>
                </c:pt>
              </c:strCache>
            </c:strRef>
          </c:tx>
          <c:spPr>
            <a:solidFill>
              <a:schemeClr val="accent1">
                <a:tint val="77000"/>
              </a:schemeClr>
            </a:solidFill>
            <a:ln>
              <a:noFill/>
            </a:ln>
            <a:effectLst/>
            <a:sp3d/>
          </c:spPr>
          <c:invertIfNegative val="0"/>
          <c:cat>
            <c:strRef>
              <c:f>Sheet1!$U$152:$U$158</c:f>
              <c:strCache>
                <c:ptCount val="6"/>
                <c:pt idx="0">
                  <c:v>Books</c:v>
                </c:pt>
                <c:pt idx="1">
                  <c:v>Clothing</c:v>
                </c:pt>
                <c:pt idx="2">
                  <c:v>Electronics</c:v>
                </c:pt>
                <c:pt idx="3">
                  <c:v>Home &amp; Kitchen</c:v>
                </c:pt>
                <c:pt idx="4">
                  <c:v>Sports</c:v>
                </c:pt>
                <c:pt idx="5">
                  <c:v>Toys</c:v>
                </c:pt>
              </c:strCache>
            </c:strRef>
          </c:cat>
          <c:val>
            <c:numRef>
              <c:f>Sheet1!$Y$152:$Y$158</c:f>
              <c:numCache>
                <c:formatCode>0.00</c:formatCode>
                <c:ptCount val="6"/>
                <c:pt idx="2">
                  <c:v>11800</c:v>
                </c:pt>
                <c:pt idx="3">
                  <c:v>8800</c:v>
                </c:pt>
                <c:pt idx="4">
                  <c:v>12600</c:v>
                </c:pt>
                <c:pt idx="5">
                  <c:v>10000</c:v>
                </c:pt>
              </c:numCache>
            </c:numRef>
          </c:val>
          <c:extLst>
            <c:ext xmlns:c16="http://schemas.microsoft.com/office/drawing/2014/chart" uri="{C3380CC4-5D6E-409C-BE32-E72D297353CC}">
              <c16:uniqueId val="{0000000A-8C50-4FF3-81AF-734CF4D59C6A}"/>
            </c:ext>
          </c:extLst>
        </c:ser>
        <c:ser>
          <c:idx val="4"/>
          <c:order val="4"/>
          <c:tx>
            <c:strRef>
              <c:f>Sheet1!$Z$150:$Z$151</c:f>
              <c:strCache>
                <c:ptCount val="1"/>
                <c:pt idx="0">
                  <c:v>PayPal</c:v>
                </c:pt>
              </c:strCache>
            </c:strRef>
          </c:tx>
          <c:spPr>
            <a:solidFill>
              <a:schemeClr val="accent1">
                <a:tint val="54000"/>
              </a:schemeClr>
            </a:solidFill>
            <a:ln>
              <a:noFill/>
            </a:ln>
            <a:effectLst/>
            <a:sp3d/>
          </c:spPr>
          <c:invertIfNegative val="0"/>
          <c:cat>
            <c:strRef>
              <c:f>Sheet1!$U$152:$U$158</c:f>
              <c:strCache>
                <c:ptCount val="6"/>
                <c:pt idx="0">
                  <c:v>Books</c:v>
                </c:pt>
                <c:pt idx="1">
                  <c:v>Clothing</c:v>
                </c:pt>
                <c:pt idx="2">
                  <c:v>Electronics</c:v>
                </c:pt>
                <c:pt idx="3">
                  <c:v>Home &amp; Kitchen</c:v>
                </c:pt>
                <c:pt idx="4">
                  <c:v>Sports</c:v>
                </c:pt>
                <c:pt idx="5">
                  <c:v>Toys</c:v>
                </c:pt>
              </c:strCache>
            </c:strRef>
          </c:cat>
          <c:val>
            <c:numRef>
              <c:f>Sheet1!$Z$152:$Z$158</c:f>
              <c:numCache>
                <c:formatCode>0.00</c:formatCode>
                <c:ptCount val="6"/>
                <c:pt idx="1">
                  <c:v>3100</c:v>
                </c:pt>
                <c:pt idx="2">
                  <c:v>8500</c:v>
                </c:pt>
              </c:numCache>
            </c:numRef>
          </c:val>
          <c:extLst>
            <c:ext xmlns:c16="http://schemas.microsoft.com/office/drawing/2014/chart" uri="{C3380CC4-5D6E-409C-BE32-E72D297353CC}">
              <c16:uniqueId val="{0000000B-8C50-4FF3-81AF-734CF4D59C6A}"/>
            </c:ext>
          </c:extLst>
        </c:ser>
        <c:dLbls>
          <c:showLegendKey val="0"/>
          <c:showVal val="0"/>
          <c:showCatName val="0"/>
          <c:showSerName val="0"/>
          <c:showPercent val="0"/>
          <c:showBubbleSize val="0"/>
        </c:dLbls>
        <c:gapWidth val="150"/>
        <c:shape val="box"/>
        <c:axId val="1050893232"/>
        <c:axId val="1050899472"/>
        <c:axId val="0"/>
      </c:bar3DChart>
      <c:catAx>
        <c:axId val="1050893232"/>
        <c:scaling>
          <c:orientation val="minMax"/>
        </c:scaling>
        <c:delete val="0"/>
        <c:axPos val="b"/>
        <c:title>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50899472"/>
        <c:crosses val="autoZero"/>
        <c:auto val="1"/>
        <c:lblAlgn val="ctr"/>
        <c:lblOffset val="100"/>
        <c:noMultiLvlLbl val="0"/>
      </c:catAx>
      <c:valAx>
        <c:axId val="1050899472"/>
        <c:scaling>
          <c:orientation val="minMax"/>
        </c:scaling>
        <c:delete val="0"/>
        <c:axPos val="l"/>
        <c:majorGridlines>
          <c:spPr>
            <a:ln w="9525" cap="flat" cmpd="sng" algn="ctr">
              <a:solidFill>
                <a:schemeClr val="tx1">
                  <a:lumMod val="15000"/>
                  <a:lumOff val="85000"/>
                </a:schemeClr>
              </a:solidFill>
              <a:round/>
            </a:ln>
            <a:effectLst/>
          </c:spPr>
        </c:majorGridlines>
        <c:title>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5089323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1" i="0" u="none" strike="noStrike" kern="1200" cap="all" spc="120" normalizeH="0" baseline="0">
                <a:solidFill>
                  <a:schemeClr val="tx1">
                    <a:lumMod val="65000"/>
                    <a:lumOff val="35000"/>
                  </a:schemeClr>
                </a:solidFill>
                <a:latin typeface="+mn-lt"/>
                <a:ea typeface="+mn-ea"/>
                <a:cs typeface="+mn-cs"/>
              </a:defRPr>
            </a:pPr>
            <a:r>
              <a:rPr lang="en-IN"/>
              <a:t>Sum of CustomerAge by CustomerGender</a:t>
            </a:r>
          </a:p>
        </c:rich>
      </c:tx>
      <c:layout>
        <c:manualLayout>
          <c:xMode val="edge"/>
          <c:yMode val="edge"/>
          <c:x val="0.1569166666666667"/>
          <c:y val="0.12397929425488481"/>
        </c:manualLayout>
      </c:layout>
      <c:overlay val="0"/>
      <c:spPr>
        <a:noFill/>
        <a:ln>
          <a:noFill/>
        </a:ln>
        <a:effectLst/>
      </c:spPr>
      <c:txPr>
        <a:bodyPr rot="0" spcFirstLastPara="1" vertOverflow="ellipsis" vert="horz" wrap="square" anchor="ctr" anchorCtr="1"/>
        <a:lstStyle/>
        <a:p>
          <a:pPr>
            <a:defRPr sz="1600" b="1" i="0" u="none" strike="noStrike" kern="1200" cap="all" spc="120" normalizeH="0" baseline="0">
              <a:solidFill>
                <a:schemeClr val="tx1">
                  <a:lumMod val="65000"/>
                  <a:lumOff val="3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pPr>
            <a:solidFill>
              <a:schemeClr val="accent1"/>
            </a:solidFill>
            <a:ln w="9525">
              <a:solidFill>
                <a:schemeClr val="accent1"/>
              </a:solidFill>
              <a:round/>
            </a:ln>
            <a:effectLst/>
          </c:spPr>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9.1843418427256934E-2"/>
          <c:y val="0.2586553307199273"/>
          <c:w val="0.87753018372703417"/>
          <c:h val="0.53774387576552929"/>
        </c:manualLayout>
      </c:layout>
      <c:barChart>
        <c:barDir val="col"/>
        <c:grouping val="clustered"/>
        <c:varyColors val="0"/>
        <c:ser>
          <c:idx val="0"/>
          <c:order val="0"/>
          <c:tx>
            <c:v>Total</c:v>
          </c:tx>
          <c:spPr>
            <a:solidFill>
              <a:schemeClr val="accent1"/>
            </a:solidFill>
            <a:ln>
              <a:noFill/>
            </a:ln>
            <a:effectLst/>
          </c:spPr>
          <c:invertIfNegative val="0"/>
          <c:dLbls>
            <c:spPr>
              <a:noFill/>
              <a:ln>
                <a:noFill/>
              </a:ln>
              <a:effectLst/>
            </c:spPr>
            <c:txPr>
              <a:bodyPr rot="-5400000" spcFirstLastPara="1" vertOverflow="clip" horzOverflow="clip" vert="horz" wrap="square" lIns="38100" tIns="19050" rIns="38100" bIns="19050" anchor="ctr" anchorCtr="1">
                <a:spAutoFit/>
              </a:bodyPr>
              <a:lstStyle/>
              <a:p>
                <a:pPr>
                  <a:defRPr sz="800" b="0" i="0" u="none" strike="noStrike" kern="1200" baseline="0">
                    <a:solidFill>
                      <a:schemeClr val="tx1">
                        <a:lumMod val="50000"/>
                        <a:lumOff val="50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Lit>
              <c:ptCount val="3"/>
              <c:pt idx="0">
                <c:v>Female</c:v>
              </c:pt>
              <c:pt idx="1">
                <c:v>Male</c:v>
              </c:pt>
              <c:pt idx="2">
                <c:v>Other</c:v>
              </c:pt>
            </c:strLit>
          </c:cat>
          <c:val>
            <c:numLit>
              <c:formatCode>General</c:formatCode>
              <c:ptCount val="3"/>
              <c:pt idx="0">
                <c:v>691</c:v>
              </c:pt>
              <c:pt idx="1">
                <c:v>723</c:v>
              </c:pt>
              <c:pt idx="2">
                <c:v>919</c:v>
              </c:pt>
            </c:numLit>
          </c:val>
          <c:extLst>
            <c:ext xmlns:c16="http://schemas.microsoft.com/office/drawing/2014/chart" uri="{C3380CC4-5D6E-409C-BE32-E72D297353CC}">
              <c16:uniqueId val="{00000000-9F85-4917-AA28-40B8E0588AA5}"/>
            </c:ext>
          </c:extLst>
        </c:ser>
        <c:dLbls>
          <c:dLblPos val="outEnd"/>
          <c:showLegendKey val="0"/>
          <c:showVal val="1"/>
          <c:showCatName val="0"/>
          <c:showSerName val="0"/>
          <c:showPercent val="0"/>
          <c:showBubbleSize val="0"/>
        </c:dLbls>
        <c:gapWidth val="444"/>
        <c:overlap val="-90"/>
        <c:axId val="1902651279"/>
        <c:axId val="1902635439"/>
      </c:barChart>
      <c:catAx>
        <c:axId val="1902651279"/>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800" b="0" i="0" u="none" strike="noStrike" kern="1200" cap="all" spc="120" normalizeH="0" baseline="0">
                <a:solidFill>
                  <a:schemeClr val="tx1">
                    <a:lumMod val="65000"/>
                    <a:lumOff val="35000"/>
                  </a:schemeClr>
                </a:solidFill>
                <a:latin typeface="+mn-lt"/>
                <a:ea typeface="+mn-ea"/>
                <a:cs typeface="+mn-cs"/>
              </a:defRPr>
            </a:pPr>
            <a:endParaRPr lang="en-US"/>
          </a:p>
        </c:txPr>
        <c:crossAx val="1902635439"/>
        <c:crosses val="autoZero"/>
        <c:auto val="1"/>
        <c:lblAlgn val="ctr"/>
        <c:lblOffset val="100"/>
        <c:noMultiLvlLbl val="0"/>
      </c:catAx>
      <c:valAx>
        <c:axId val="1902635439"/>
        <c:scaling>
          <c:orientation val="minMax"/>
        </c:scaling>
        <c:delete val="1"/>
        <c:axPos val="l"/>
        <c:numFmt formatCode="General" sourceLinked="1"/>
        <c:majorTickMark val="none"/>
        <c:minorTickMark val="none"/>
        <c:tickLblPos val="nextTo"/>
        <c:crossAx val="1902651279"/>
        <c:crosses val="autoZero"/>
        <c:crossBetween val="between"/>
      </c:valAx>
      <c:spPr>
        <a:noFill/>
        <a:ln>
          <a:noFill/>
        </a:ln>
        <a:effectLst/>
      </c:spPr>
    </c:plotArea>
    <c:plotVisOnly val="1"/>
    <c:dispBlanksAs val="gap"/>
    <c:showDLblsOverMax val="0"/>
  </c:chart>
  <c:spPr>
    <a:solidFill>
      <a:schemeClr val="lt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IN"/>
              <a:t>Count of CustomerIncomeGroup</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6.6580927384076991E-2"/>
          <c:y val="0.25402559055118112"/>
          <c:w val="0.90286351706036749"/>
          <c:h val="0.53774387576552929"/>
        </c:manualLayout>
      </c:layout>
      <c:barChart>
        <c:barDir val="col"/>
        <c:grouping val="clustered"/>
        <c:varyColors val="0"/>
        <c:ser>
          <c:idx val="0"/>
          <c:order val="0"/>
          <c:tx>
            <c:v>Series1</c:v>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Lit>
              <c:ptCount val="3"/>
              <c:pt idx="0">
                <c:v>High</c:v>
              </c:pt>
              <c:pt idx="1">
                <c:v>Low</c:v>
              </c:pt>
              <c:pt idx="2">
                <c:v>Medium</c:v>
              </c:pt>
            </c:strLit>
          </c:cat>
          <c:val>
            <c:numLit>
              <c:formatCode>General</c:formatCode>
              <c:ptCount val="3"/>
              <c:pt idx="0">
                <c:v>17</c:v>
              </c:pt>
              <c:pt idx="1">
                <c:v>21</c:v>
              </c:pt>
              <c:pt idx="2">
                <c:v>11</c:v>
              </c:pt>
            </c:numLit>
          </c:val>
          <c:extLst>
            <c:ext xmlns:c16="http://schemas.microsoft.com/office/drawing/2014/chart" uri="{C3380CC4-5D6E-409C-BE32-E72D297353CC}">
              <c16:uniqueId val="{00000000-A044-43DD-9FD3-63D9BC5C991D}"/>
            </c:ext>
          </c:extLst>
        </c:ser>
        <c:ser>
          <c:idx val="1"/>
          <c:order val="1"/>
          <c:tx>
            <c:v>Series2</c:v>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Lit>
              <c:ptCount val="3"/>
              <c:pt idx="0">
                <c:v>High</c:v>
              </c:pt>
              <c:pt idx="1">
                <c:v>Low</c:v>
              </c:pt>
              <c:pt idx="2">
                <c:v>Medium</c:v>
              </c:pt>
            </c:strLit>
          </c:cat>
          <c:val>
            <c:numLit>
              <c:formatCode>General</c:formatCode>
              <c:ptCount val="3"/>
              <c:pt idx="0">
                <c:v>393</c:v>
              </c:pt>
              <c:pt idx="1">
                <c:v>524</c:v>
              </c:pt>
              <c:pt idx="2">
                <c:v>308</c:v>
              </c:pt>
            </c:numLit>
          </c:val>
          <c:extLst>
            <c:ext xmlns:c16="http://schemas.microsoft.com/office/drawing/2014/chart" uri="{C3380CC4-5D6E-409C-BE32-E72D297353CC}">
              <c16:uniqueId val="{00000001-A044-43DD-9FD3-63D9BC5C991D}"/>
            </c:ext>
          </c:extLst>
        </c:ser>
        <c:ser>
          <c:idx val="2"/>
          <c:order val="2"/>
          <c:tx>
            <c:v>Series3</c:v>
          </c:tx>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Lit>
              <c:ptCount val="3"/>
              <c:pt idx="0">
                <c:v>High</c:v>
              </c:pt>
              <c:pt idx="1">
                <c:v>Low</c:v>
              </c:pt>
              <c:pt idx="2">
                <c:v>Medium</c:v>
              </c:pt>
            </c:strLit>
          </c:cat>
          <c:val>
            <c:numLit>
              <c:formatCode>General</c:formatCode>
              <c:ptCount val="3"/>
              <c:pt idx="0">
                <c:v>2.95</c:v>
              </c:pt>
              <c:pt idx="1">
                <c:v>2.6299999999999994</c:v>
              </c:pt>
              <c:pt idx="2">
                <c:v>1.3100000000000003</c:v>
              </c:pt>
            </c:numLit>
          </c:val>
          <c:extLst>
            <c:ext xmlns:c16="http://schemas.microsoft.com/office/drawing/2014/chart" uri="{C3380CC4-5D6E-409C-BE32-E72D297353CC}">
              <c16:uniqueId val="{00000003-A044-43DD-9FD3-63D9BC5C991D}"/>
            </c:ext>
          </c:extLst>
        </c:ser>
        <c:dLbls>
          <c:dLblPos val="outEnd"/>
          <c:showLegendKey val="0"/>
          <c:showVal val="1"/>
          <c:showCatName val="0"/>
          <c:showSerName val="0"/>
          <c:showPercent val="0"/>
          <c:showBubbleSize val="0"/>
        </c:dLbls>
        <c:gapWidth val="100"/>
        <c:overlap val="-24"/>
        <c:axId val="1780226095"/>
        <c:axId val="1780237135"/>
      </c:barChart>
      <c:catAx>
        <c:axId val="1780226095"/>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780237135"/>
        <c:crosses val="autoZero"/>
        <c:auto val="1"/>
        <c:lblAlgn val="ctr"/>
        <c:lblOffset val="100"/>
        <c:noMultiLvlLbl val="0"/>
      </c:catAx>
      <c:valAx>
        <c:axId val="1780237135"/>
        <c:scaling>
          <c:orientation val="minMax"/>
        </c:scaling>
        <c:delete val="0"/>
        <c:axPos val="l"/>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780226095"/>
        <c:crosses val="autoZero"/>
        <c:crossBetween val="between"/>
      </c:valAx>
      <c:spPr>
        <a:noFill/>
        <a:ln>
          <a:noFill/>
        </a:ln>
        <a:effectLst/>
      </c:spPr>
    </c:plotArea>
    <c:plotVisOnly val="1"/>
    <c:dispBlanksAs val="gap"/>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IN"/>
              <a:t>Histogram</a:t>
            </a:r>
          </a:p>
        </c:rich>
      </c:tx>
      <c:overlay val="0"/>
    </c:title>
    <c:autoTitleDeleted val="0"/>
    <c:plotArea>
      <c:layout/>
      <c:barChart>
        <c:barDir val="col"/>
        <c:grouping val="clustered"/>
        <c:varyColors val="0"/>
        <c:ser>
          <c:idx val="0"/>
          <c:order val="0"/>
          <c:tx>
            <c:v>Frequency</c:v>
          </c:tx>
          <c:invertIfNegative val="0"/>
          <c:cat>
            <c:strRef>
              <c:f>Sheet1!$V$56:$V$60</c:f>
              <c:strCache>
                <c:ptCount val="5"/>
                <c:pt idx="0">
                  <c:v>4000</c:v>
                </c:pt>
                <c:pt idx="1">
                  <c:v>6000</c:v>
                </c:pt>
                <c:pt idx="2">
                  <c:v>8000</c:v>
                </c:pt>
                <c:pt idx="3">
                  <c:v>10000</c:v>
                </c:pt>
                <c:pt idx="4">
                  <c:v>More</c:v>
                </c:pt>
              </c:strCache>
            </c:strRef>
          </c:cat>
          <c:val>
            <c:numRef>
              <c:f>Sheet1!$W$56:$W$60</c:f>
              <c:numCache>
                <c:formatCode>General</c:formatCode>
                <c:ptCount val="5"/>
                <c:pt idx="0">
                  <c:v>16</c:v>
                </c:pt>
                <c:pt idx="1">
                  <c:v>16</c:v>
                </c:pt>
                <c:pt idx="2">
                  <c:v>13</c:v>
                </c:pt>
                <c:pt idx="3">
                  <c:v>3</c:v>
                </c:pt>
                <c:pt idx="4">
                  <c:v>0</c:v>
                </c:pt>
              </c:numCache>
            </c:numRef>
          </c:val>
          <c:extLst>
            <c:ext xmlns:c16="http://schemas.microsoft.com/office/drawing/2014/chart" uri="{C3380CC4-5D6E-409C-BE32-E72D297353CC}">
              <c16:uniqueId val="{00000000-5BB0-42D4-B34F-2CDCB90B5A5E}"/>
            </c:ext>
          </c:extLst>
        </c:ser>
        <c:dLbls>
          <c:showLegendKey val="0"/>
          <c:showVal val="0"/>
          <c:showCatName val="0"/>
          <c:showSerName val="0"/>
          <c:showPercent val="0"/>
          <c:showBubbleSize val="0"/>
        </c:dLbls>
        <c:gapWidth val="150"/>
        <c:axId val="1097124383"/>
        <c:axId val="1097124863"/>
      </c:barChart>
      <c:catAx>
        <c:axId val="1097124383"/>
        <c:scaling>
          <c:orientation val="minMax"/>
        </c:scaling>
        <c:delete val="0"/>
        <c:axPos val="b"/>
        <c:title>
          <c:tx>
            <c:rich>
              <a:bodyPr/>
              <a:lstStyle/>
              <a:p>
                <a:pPr>
                  <a:defRPr/>
                </a:pPr>
                <a:r>
                  <a:rPr lang="en-IN"/>
                  <a:t>2000</a:t>
                </a:r>
              </a:p>
            </c:rich>
          </c:tx>
          <c:overlay val="0"/>
        </c:title>
        <c:numFmt formatCode="General" sourceLinked="1"/>
        <c:majorTickMark val="out"/>
        <c:minorTickMark val="none"/>
        <c:tickLblPos val="nextTo"/>
        <c:crossAx val="1097124863"/>
        <c:crosses val="autoZero"/>
        <c:auto val="1"/>
        <c:lblAlgn val="ctr"/>
        <c:lblOffset val="100"/>
        <c:noMultiLvlLbl val="0"/>
      </c:catAx>
      <c:valAx>
        <c:axId val="1097124863"/>
        <c:scaling>
          <c:orientation val="minMax"/>
        </c:scaling>
        <c:delete val="0"/>
        <c:axPos val="l"/>
        <c:title>
          <c:tx>
            <c:rich>
              <a:bodyPr/>
              <a:lstStyle/>
              <a:p>
                <a:pPr>
                  <a:defRPr/>
                </a:pPr>
                <a:r>
                  <a:rPr lang="en-IN"/>
                  <a:t>Frequency</a:t>
                </a:r>
              </a:p>
            </c:rich>
          </c:tx>
          <c:overlay val="0"/>
        </c:title>
        <c:numFmt formatCode="General" sourceLinked="1"/>
        <c:majorTickMark val="out"/>
        <c:minorTickMark val="none"/>
        <c:tickLblPos val="nextTo"/>
        <c:crossAx val="1097124383"/>
        <c:crosses val="autoZero"/>
        <c:crossBetween val="between"/>
      </c:valAx>
    </c:plotArea>
    <c:legend>
      <c:legendPos val="r"/>
      <c:overlay val="0"/>
    </c:legend>
    <c:plotVisOnly val="1"/>
    <c:dispBlanksAs val="gap"/>
    <c:showDLblsOverMax val="0"/>
    <c:extLst>
      <c:ext xmlns:c16r3="http://schemas.microsoft.com/office/drawing/2017/03/chart" uri="{56B9EC1D-385E-4148-901F-78D8002777C0}">
        <c16r3:dataDisplayOptions16>
          <c16r3:dispNaAsBlank val="1"/>
        </c16r3:dataDisplayOptions16>
      </c:ext>
    </c:extLst>
  </c:chart>
  <c:printSettings>
    <c:headerFooter/>
    <c:pageMargins b="0.75" l="0.7" r="0.7" t="0.75" header="0.3" footer="0.3"/>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pivotSource>
    <c:name>[day-2.xlsx]Sheet1!PivotTable2</c:name>
    <c:fmtId val="0"/>
  </c:pivotSource>
  <c:chart>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stacked"/>
        <c:varyColors val="0"/>
        <c:ser>
          <c:idx val="0"/>
          <c:order val="0"/>
          <c:tx>
            <c:strRef>
              <c:f>Sheet1!$V$150:$V$151</c:f>
              <c:strCache>
                <c:ptCount val="1"/>
                <c:pt idx="0">
                  <c:v>Bank Transfer</c:v>
                </c:pt>
              </c:strCache>
            </c:strRef>
          </c:tx>
          <c:spPr>
            <a:solidFill>
              <a:schemeClr val="accent1">
                <a:tint val="54000"/>
              </a:schemeClr>
            </a:solidFill>
            <a:ln>
              <a:noFill/>
            </a:ln>
            <a:effectLst/>
            <a:sp3d/>
          </c:spPr>
          <c:invertIfNegative val="0"/>
          <c:cat>
            <c:strRef>
              <c:f>Sheet1!$U$152:$U$158</c:f>
              <c:strCache>
                <c:ptCount val="6"/>
                <c:pt idx="0">
                  <c:v>Books</c:v>
                </c:pt>
                <c:pt idx="1">
                  <c:v>Clothing</c:v>
                </c:pt>
                <c:pt idx="2">
                  <c:v>Electronics</c:v>
                </c:pt>
                <c:pt idx="3">
                  <c:v>Home &amp; Kitchen</c:v>
                </c:pt>
                <c:pt idx="4">
                  <c:v>Sports</c:v>
                </c:pt>
                <c:pt idx="5">
                  <c:v>Toys</c:v>
                </c:pt>
              </c:strCache>
            </c:strRef>
          </c:cat>
          <c:val>
            <c:numRef>
              <c:f>Sheet1!$V$152:$V$158</c:f>
              <c:numCache>
                <c:formatCode>0.00</c:formatCode>
                <c:ptCount val="6"/>
                <c:pt idx="0">
                  <c:v>9000</c:v>
                </c:pt>
                <c:pt idx="2">
                  <c:v>3600</c:v>
                </c:pt>
                <c:pt idx="4">
                  <c:v>15300</c:v>
                </c:pt>
                <c:pt idx="5">
                  <c:v>6200</c:v>
                </c:pt>
              </c:numCache>
            </c:numRef>
          </c:val>
          <c:extLst>
            <c:ext xmlns:c16="http://schemas.microsoft.com/office/drawing/2014/chart" uri="{C3380CC4-5D6E-409C-BE32-E72D297353CC}">
              <c16:uniqueId val="{00000000-938F-44EF-880B-FB818ED56E97}"/>
            </c:ext>
          </c:extLst>
        </c:ser>
        <c:ser>
          <c:idx val="1"/>
          <c:order val="1"/>
          <c:tx>
            <c:strRef>
              <c:f>Sheet1!$W$150:$W$151</c:f>
              <c:strCache>
                <c:ptCount val="1"/>
                <c:pt idx="0">
                  <c:v>Cash on Delivery</c:v>
                </c:pt>
              </c:strCache>
            </c:strRef>
          </c:tx>
          <c:spPr>
            <a:solidFill>
              <a:schemeClr val="accent1">
                <a:tint val="77000"/>
              </a:schemeClr>
            </a:solidFill>
            <a:ln>
              <a:noFill/>
            </a:ln>
            <a:effectLst/>
            <a:sp3d/>
          </c:spPr>
          <c:invertIfNegative val="0"/>
          <c:cat>
            <c:strRef>
              <c:f>Sheet1!$U$152:$U$158</c:f>
              <c:strCache>
                <c:ptCount val="6"/>
                <c:pt idx="0">
                  <c:v>Books</c:v>
                </c:pt>
                <c:pt idx="1">
                  <c:v>Clothing</c:v>
                </c:pt>
                <c:pt idx="2">
                  <c:v>Electronics</c:v>
                </c:pt>
                <c:pt idx="3">
                  <c:v>Home &amp; Kitchen</c:v>
                </c:pt>
                <c:pt idx="4">
                  <c:v>Sports</c:v>
                </c:pt>
                <c:pt idx="5">
                  <c:v>Toys</c:v>
                </c:pt>
              </c:strCache>
            </c:strRef>
          </c:cat>
          <c:val>
            <c:numRef>
              <c:f>Sheet1!$W$152:$W$158</c:f>
              <c:numCache>
                <c:formatCode>0.00</c:formatCode>
                <c:ptCount val="6"/>
                <c:pt idx="0">
                  <c:v>12100</c:v>
                </c:pt>
                <c:pt idx="1">
                  <c:v>18400</c:v>
                </c:pt>
                <c:pt idx="2">
                  <c:v>8400</c:v>
                </c:pt>
                <c:pt idx="4">
                  <c:v>17800</c:v>
                </c:pt>
                <c:pt idx="5">
                  <c:v>18200</c:v>
                </c:pt>
              </c:numCache>
            </c:numRef>
          </c:val>
          <c:extLst>
            <c:ext xmlns:c16="http://schemas.microsoft.com/office/drawing/2014/chart" uri="{C3380CC4-5D6E-409C-BE32-E72D297353CC}">
              <c16:uniqueId val="{00000015-54EC-42A2-9D65-1A9A084A7F67}"/>
            </c:ext>
          </c:extLst>
        </c:ser>
        <c:ser>
          <c:idx val="2"/>
          <c:order val="2"/>
          <c:tx>
            <c:strRef>
              <c:f>Sheet1!$X$150:$X$151</c:f>
              <c:strCache>
                <c:ptCount val="1"/>
                <c:pt idx="0">
                  <c:v>Credit Card</c:v>
                </c:pt>
              </c:strCache>
            </c:strRef>
          </c:tx>
          <c:spPr>
            <a:solidFill>
              <a:schemeClr val="accent1"/>
            </a:solidFill>
            <a:ln>
              <a:noFill/>
            </a:ln>
            <a:effectLst/>
            <a:sp3d/>
          </c:spPr>
          <c:invertIfNegative val="0"/>
          <c:cat>
            <c:strRef>
              <c:f>Sheet1!$U$152:$U$158</c:f>
              <c:strCache>
                <c:ptCount val="6"/>
                <c:pt idx="0">
                  <c:v>Books</c:v>
                </c:pt>
                <c:pt idx="1">
                  <c:v>Clothing</c:v>
                </c:pt>
                <c:pt idx="2">
                  <c:v>Electronics</c:v>
                </c:pt>
                <c:pt idx="3">
                  <c:v>Home &amp; Kitchen</c:v>
                </c:pt>
                <c:pt idx="4">
                  <c:v>Sports</c:v>
                </c:pt>
                <c:pt idx="5">
                  <c:v>Toys</c:v>
                </c:pt>
              </c:strCache>
            </c:strRef>
          </c:cat>
          <c:val>
            <c:numRef>
              <c:f>Sheet1!$X$152:$X$158</c:f>
              <c:numCache>
                <c:formatCode>0.00</c:formatCode>
                <c:ptCount val="6"/>
                <c:pt idx="0">
                  <c:v>11300</c:v>
                </c:pt>
                <c:pt idx="2">
                  <c:v>12600</c:v>
                </c:pt>
                <c:pt idx="3">
                  <c:v>14200</c:v>
                </c:pt>
                <c:pt idx="4">
                  <c:v>5600</c:v>
                </c:pt>
                <c:pt idx="5">
                  <c:v>11400</c:v>
                </c:pt>
              </c:numCache>
            </c:numRef>
          </c:val>
          <c:extLst>
            <c:ext xmlns:c16="http://schemas.microsoft.com/office/drawing/2014/chart" uri="{C3380CC4-5D6E-409C-BE32-E72D297353CC}">
              <c16:uniqueId val="{00000016-54EC-42A2-9D65-1A9A084A7F67}"/>
            </c:ext>
          </c:extLst>
        </c:ser>
        <c:ser>
          <c:idx val="3"/>
          <c:order val="3"/>
          <c:tx>
            <c:strRef>
              <c:f>Sheet1!$Y$150:$Y$151</c:f>
              <c:strCache>
                <c:ptCount val="1"/>
                <c:pt idx="0">
                  <c:v>Debit Card</c:v>
                </c:pt>
              </c:strCache>
            </c:strRef>
          </c:tx>
          <c:spPr>
            <a:solidFill>
              <a:schemeClr val="accent1">
                <a:shade val="76000"/>
              </a:schemeClr>
            </a:solidFill>
            <a:ln>
              <a:noFill/>
            </a:ln>
            <a:effectLst/>
            <a:sp3d/>
          </c:spPr>
          <c:invertIfNegative val="0"/>
          <c:cat>
            <c:strRef>
              <c:f>Sheet1!$U$152:$U$158</c:f>
              <c:strCache>
                <c:ptCount val="6"/>
                <c:pt idx="0">
                  <c:v>Books</c:v>
                </c:pt>
                <c:pt idx="1">
                  <c:v>Clothing</c:v>
                </c:pt>
                <c:pt idx="2">
                  <c:v>Electronics</c:v>
                </c:pt>
                <c:pt idx="3">
                  <c:v>Home &amp; Kitchen</c:v>
                </c:pt>
                <c:pt idx="4">
                  <c:v>Sports</c:v>
                </c:pt>
                <c:pt idx="5">
                  <c:v>Toys</c:v>
                </c:pt>
              </c:strCache>
            </c:strRef>
          </c:cat>
          <c:val>
            <c:numRef>
              <c:f>Sheet1!$Y$152:$Y$158</c:f>
              <c:numCache>
                <c:formatCode>0.00</c:formatCode>
                <c:ptCount val="6"/>
                <c:pt idx="2">
                  <c:v>11800</c:v>
                </c:pt>
                <c:pt idx="3">
                  <c:v>8800</c:v>
                </c:pt>
                <c:pt idx="4">
                  <c:v>12600</c:v>
                </c:pt>
                <c:pt idx="5">
                  <c:v>10000</c:v>
                </c:pt>
              </c:numCache>
            </c:numRef>
          </c:val>
          <c:extLst>
            <c:ext xmlns:c16="http://schemas.microsoft.com/office/drawing/2014/chart" uri="{C3380CC4-5D6E-409C-BE32-E72D297353CC}">
              <c16:uniqueId val="{00000017-54EC-42A2-9D65-1A9A084A7F67}"/>
            </c:ext>
          </c:extLst>
        </c:ser>
        <c:ser>
          <c:idx val="4"/>
          <c:order val="4"/>
          <c:tx>
            <c:strRef>
              <c:f>Sheet1!$Z$150:$Z$151</c:f>
              <c:strCache>
                <c:ptCount val="1"/>
                <c:pt idx="0">
                  <c:v>PayPal</c:v>
                </c:pt>
              </c:strCache>
            </c:strRef>
          </c:tx>
          <c:spPr>
            <a:solidFill>
              <a:schemeClr val="accent1">
                <a:shade val="53000"/>
              </a:schemeClr>
            </a:solidFill>
            <a:ln>
              <a:noFill/>
            </a:ln>
            <a:effectLst/>
            <a:sp3d/>
          </c:spPr>
          <c:invertIfNegative val="0"/>
          <c:cat>
            <c:strRef>
              <c:f>Sheet1!$U$152:$U$158</c:f>
              <c:strCache>
                <c:ptCount val="6"/>
                <c:pt idx="0">
                  <c:v>Books</c:v>
                </c:pt>
                <c:pt idx="1">
                  <c:v>Clothing</c:v>
                </c:pt>
                <c:pt idx="2">
                  <c:v>Electronics</c:v>
                </c:pt>
                <c:pt idx="3">
                  <c:v>Home &amp; Kitchen</c:v>
                </c:pt>
                <c:pt idx="4">
                  <c:v>Sports</c:v>
                </c:pt>
                <c:pt idx="5">
                  <c:v>Toys</c:v>
                </c:pt>
              </c:strCache>
            </c:strRef>
          </c:cat>
          <c:val>
            <c:numRef>
              <c:f>Sheet1!$Z$152:$Z$158</c:f>
              <c:numCache>
                <c:formatCode>0.00</c:formatCode>
                <c:ptCount val="6"/>
                <c:pt idx="1">
                  <c:v>3100</c:v>
                </c:pt>
                <c:pt idx="2">
                  <c:v>8500</c:v>
                </c:pt>
              </c:numCache>
            </c:numRef>
          </c:val>
          <c:extLst>
            <c:ext xmlns:c16="http://schemas.microsoft.com/office/drawing/2014/chart" uri="{C3380CC4-5D6E-409C-BE32-E72D297353CC}">
              <c16:uniqueId val="{00000018-54EC-42A2-9D65-1A9A084A7F67}"/>
            </c:ext>
          </c:extLst>
        </c:ser>
        <c:dLbls>
          <c:showLegendKey val="0"/>
          <c:showVal val="0"/>
          <c:showCatName val="0"/>
          <c:showSerName val="0"/>
          <c:showPercent val="0"/>
          <c:showBubbleSize val="0"/>
        </c:dLbls>
        <c:gapWidth val="219"/>
        <c:shape val="box"/>
        <c:axId val="1050893232"/>
        <c:axId val="1050899472"/>
        <c:axId val="0"/>
      </c:bar3DChart>
      <c:catAx>
        <c:axId val="1050893232"/>
        <c:scaling>
          <c:orientation val="minMax"/>
        </c:scaling>
        <c:delete val="0"/>
        <c:axPos val="b"/>
        <c:title>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50899472"/>
        <c:crosses val="autoZero"/>
        <c:auto val="1"/>
        <c:lblAlgn val="ctr"/>
        <c:lblOffset val="100"/>
        <c:noMultiLvlLbl val="0"/>
      </c:catAx>
      <c:valAx>
        <c:axId val="1050899472"/>
        <c:scaling>
          <c:orientation val="minMax"/>
        </c:scaling>
        <c:delete val="0"/>
        <c:axPos val="l"/>
        <c:majorGridlines>
          <c:spPr>
            <a:ln w="9525" cap="flat" cmpd="sng" algn="ctr">
              <a:solidFill>
                <a:schemeClr val="tx1">
                  <a:lumMod val="15000"/>
                  <a:lumOff val="85000"/>
                </a:schemeClr>
              </a:solidFill>
              <a:round/>
            </a:ln>
            <a:effectLst/>
          </c:spPr>
        </c:majorGridlines>
        <c:title>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5089323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[day-2.xlsx]Sheet1!PivotTable2</c:name>
    <c:fmtId val="11"/>
  </c:pivotSource>
  <c:chart>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standard"/>
        <c:varyColors val="0"/>
        <c:ser>
          <c:idx val="0"/>
          <c:order val="0"/>
          <c:tx>
            <c:strRef>
              <c:f>Sheet1!$V$150:$V$151</c:f>
              <c:strCache>
                <c:ptCount val="1"/>
                <c:pt idx="0">
                  <c:v>Bank Transfer</c:v>
                </c:pt>
              </c:strCache>
            </c:strRef>
          </c:tx>
          <c:spPr>
            <a:solidFill>
              <a:schemeClr val="accent1"/>
            </a:solidFill>
            <a:ln>
              <a:noFill/>
            </a:ln>
            <a:effectLst/>
            <a:sp3d/>
          </c:spPr>
          <c:invertIfNegative val="0"/>
          <c:cat>
            <c:strRef>
              <c:f>Sheet1!$U$152:$U$158</c:f>
              <c:strCache>
                <c:ptCount val="6"/>
                <c:pt idx="0">
                  <c:v>Books</c:v>
                </c:pt>
                <c:pt idx="1">
                  <c:v>Clothing</c:v>
                </c:pt>
                <c:pt idx="2">
                  <c:v>Electronics</c:v>
                </c:pt>
                <c:pt idx="3">
                  <c:v>Home &amp; Kitchen</c:v>
                </c:pt>
                <c:pt idx="4">
                  <c:v>Sports</c:v>
                </c:pt>
                <c:pt idx="5">
                  <c:v>Toys</c:v>
                </c:pt>
              </c:strCache>
            </c:strRef>
          </c:cat>
          <c:val>
            <c:numRef>
              <c:f>Sheet1!$V$152:$V$158</c:f>
              <c:numCache>
                <c:formatCode>0.00</c:formatCode>
                <c:ptCount val="6"/>
                <c:pt idx="0">
                  <c:v>9000</c:v>
                </c:pt>
                <c:pt idx="2">
                  <c:v>3600</c:v>
                </c:pt>
                <c:pt idx="4">
                  <c:v>15300</c:v>
                </c:pt>
                <c:pt idx="5">
                  <c:v>6200</c:v>
                </c:pt>
              </c:numCache>
            </c:numRef>
          </c:val>
          <c:extLst>
            <c:ext xmlns:c16="http://schemas.microsoft.com/office/drawing/2014/chart" uri="{C3380CC4-5D6E-409C-BE32-E72D297353CC}">
              <c16:uniqueId val="{00000000-EB40-4896-B121-52068E133FC2}"/>
            </c:ext>
          </c:extLst>
        </c:ser>
        <c:ser>
          <c:idx val="1"/>
          <c:order val="1"/>
          <c:tx>
            <c:strRef>
              <c:f>Sheet1!$W$150:$W$151</c:f>
              <c:strCache>
                <c:ptCount val="1"/>
                <c:pt idx="0">
                  <c:v>Cash on Delivery</c:v>
                </c:pt>
              </c:strCache>
            </c:strRef>
          </c:tx>
          <c:spPr>
            <a:solidFill>
              <a:schemeClr val="accent2"/>
            </a:solidFill>
            <a:ln>
              <a:noFill/>
            </a:ln>
            <a:effectLst/>
            <a:sp3d/>
          </c:spPr>
          <c:invertIfNegative val="0"/>
          <c:cat>
            <c:strRef>
              <c:f>Sheet1!$U$152:$U$158</c:f>
              <c:strCache>
                <c:ptCount val="6"/>
                <c:pt idx="0">
                  <c:v>Books</c:v>
                </c:pt>
                <c:pt idx="1">
                  <c:v>Clothing</c:v>
                </c:pt>
                <c:pt idx="2">
                  <c:v>Electronics</c:v>
                </c:pt>
                <c:pt idx="3">
                  <c:v>Home &amp; Kitchen</c:v>
                </c:pt>
                <c:pt idx="4">
                  <c:v>Sports</c:v>
                </c:pt>
                <c:pt idx="5">
                  <c:v>Toys</c:v>
                </c:pt>
              </c:strCache>
            </c:strRef>
          </c:cat>
          <c:val>
            <c:numRef>
              <c:f>Sheet1!$W$152:$W$158</c:f>
              <c:numCache>
                <c:formatCode>0.00</c:formatCode>
                <c:ptCount val="6"/>
                <c:pt idx="0">
                  <c:v>12100</c:v>
                </c:pt>
                <c:pt idx="1">
                  <c:v>18400</c:v>
                </c:pt>
                <c:pt idx="2">
                  <c:v>8400</c:v>
                </c:pt>
                <c:pt idx="4">
                  <c:v>17800</c:v>
                </c:pt>
                <c:pt idx="5">
                  <c:v>18200</c:v>
                </c:pt>
              </c:numCache>
            </c:numRef>
          </c:val>
          <c:extLst>
            <c:ext xmlns:c16="http://schemas.microsoft.com/office/drawing/2014/chart" uri="{C3380CC4-5D6E-409C-BE32-E72D297353CC}">
              <c16:uniqueId val="{0000000D-EB40-4896-B121-52068E133FC2}"/>
            </c:ext>
          </c:extLst>
        </c:ser>
        <c:ser>
          <c:idx val="2"/>
          <c:order val="2"/>
          <c:tx>
            <c:strRef>
              <c:f>Sheet1!$X$150:$X$151</c:f>
              <c:strCache>
                <c:ptCount val="1"/>
                <c:pt idx="0">
                  <c:v>Credit Card</c:v>
                </c:pt>
              </c:strCache>
            </c:strRef>
          </c:tx>
          <c:spPr>
            <a:solidFill>
              <a:schemeClr val="accent3"/>
            </a:solidFill>
            <a:ln>
              <a:noFill/>
            </a:ln>
            <a:effectLst/>
            <a:sp3d/>
          </c:spPr>
          <c:invertIfNegative val="0"/>
          <c:cat>
            <c:strRef>
              <c:f>Sheet1!$U$152:$U$158</c:f>
              <c:strCache>
                <c:ptCount val="6"/>
                <c:pt idx="0">
                  <c:v>Books</c:v>
                </c:pt>
                <c:pt idx="1">
                  <c:v>Clothing</c:v>
                </c:pt>
                <c:pt idx="2">
                  <c:v>Electronics</c:v>
                </c:pt>
                <c:pt idx="3">
                  <c:v>Home &amp; Kitchen</c:v>
                </c:pt>
                <c:pt idx="4">
                  <c:v>Sports</c:v>
                </c:pt>
                <c:pt idx="5">
                  <c:v>Toys</c:v>
                </c:pt>
              </c:strCache>
            </c:strRef>
          </c:cat>
          <c:val>
            <c:numRef>
              <c:f>Sheet1!$X$152:$X$158</c:f>
              <c:numCache>
                <c:formatCode>0.00</c:formatCode>
                <c:ptCount val="6"/>
                <c:pt idx="0">
                  <c:v>11300</c:v>
                </c:pt>
                <c:pt idx="2">
                  <c:v>12600</c:v>
                </c:pt>
                <c:pt idx="3">
                  <c:v>14200</c:v>
                </c:pt>
                <c:pt idx="4">
                  <c:v>5600</c:v>
                </c:pt>
                <c:pt idx="5">
                  <c:v>11400</c:v>
                </c:pt>
              </c:numCache>
            </c:numRef>
          </c:val>
          <c:extLst>
            <c:ext xmlns:c16="http://schemas.microsoft.com/office/drawing/2014/chart" uri="{C3380CC4-5D6E-409C-BE32-E72D297353CC}">
              <c16:uniqueId val="{0000000E-EB40-4896-B121-52068E133FC2}"/>
            </c:ext>
          </c:extLst>
        </c:ser>
        <c:ser>
          <c:idx val="3"/>
          <c:order val="3"/>
          <c:tx>
            <c:strRef>
              <c:f>Sheet1!$Y$150:$Y$151</c:f>
              <c:strCache>
                <c:ptCount val="1"/>
                <c:pt idx="0">
                  <c:v>Debit Card</c:v>
                </c:pt>
              </c:strCache>
            </c:strRef>
          </c:tx>
          <c:spPr>
            <a:solidFill>
              <a:schemeClr val="accent4"/>
            </a:solidFill>
            <a:ln>
              <a:noFill/>
            </a:ln>
            <a:effectLst/>
            <a:sp3d/>
          </c:spPr>
          <c:invertIfNegative val="0"/>
          <c:cat>
            <c:strRef>
              <c:f>Sheet1!$U$152:$U$158</c:f>
              <c:strCache>
                <c:ptCount val="6"/>
                <c:pt idx="0">
                  <c:v>Books</c:v>
                </c:pt>
                <c:pt idx="1">
                  <c:v>Clothing</c:v>
                </c:pt>
                <c:pt idx="2">
                  <c:v>Electronics</c:v>
                </c:pt>
                <c:pt idx="3">
                  <c:v>Home &amp; Kitchen</c:v>
                </c:pt>
                <c:pt idx="4">
                  <c:v>Sports</c:v>
                </c:pt>
                <c:pt idx="5">
                  <c:v>Toys</c:v>
                </c:pt>
              </c:strCache>
            </c:strRef>
          </c:cat>
          <c:val>
            <c:numRef>
              <c:f>Sheet1!$Y$152:$Y$158</c:f>
              <c:numCache>
                <c:formatCode>0.00</c:formatCode>
                <c:ptCount val="6"/>
                <c:pt idx="2">
                  <c:v>11800</c:v>
                </c:pt>
                <c:pt idx="3">
                  <c:v>8800</c:v>
                </c:pt>
                <c:pt idx="4">
                  <c:v>12600</c:v>
                </c:pt>
                <c:pt idx="5">
                  <c:v>10000</c:v>
                </c:pt>
              </c:numCache>
            </c:numRef>
          </c:val>
          <c:extLst>
            <c:ext xmlns:c16="http://schemas.microsoft.com/office/drawing/2014/chart" uri="{C3380CC4-5D6E-409C-BE32-E72D297353CC}">
              <c16:uniqueId val="{0000000F-EB40-4896-B121-52068E133FC2}"/>
            </c:ext>
          </c:extLst>
        </c:ser>
        <c:ser>
          <c:idx val="4"/>
          <c:order val="4"/>
          <c:tx>
            <c:strRef>
              <c:f>Sheet1!$Z$150:$Z$151</c:f>
              <c:strCache>
                <c:ptCount val="1"/>
                <c:pt idx="0">
                  <c:v>PayPal</c:v>
                </c:pt>
              </c:strCache>
            </c:strRef>
          </c:tx>
          <c:spPr>
            <a:solidFill>
              <a:schemeClr val="accent5"/>
            </a:solidFill>
            <a:ln>
              <a:noFill/>
            </a:ln>
            <a:effectLst/>
            <a:sp3d/>
          </c:spPr>
          <c:invertIfNegative val="0"/>
          <c:cat>
            <c:strRef>
              <c:f>Sheet1!$U$152:$U$158</c:f>
              <c:strCache>
                <c:ptCount val="6"/>
                <c:pt idx="0">
                  <c:v>Books</c:v>
                </c:pt>
                <c:pt idx="1">
                  <c:v>Clothing</c:v>
                </c:pt>
                <c:pt idx="2">
                  <c:v>Electronics</c:v>
                </c:pt>
                <c:pt idx="3">
                  <c:v>Home &amp; Kitchen</c:v>
                </c:pt>
                <c:pt idx="4">
                  <c:v>Sports</c:v>
                </c:pt>
                <c:pt idx="5">
                  <c:v>Toys</c:v>
                </c:pt>
              </c:strCache>
            </c:strRef>
          </c:cat>
          <c:val>
            <c:numRef>
              <c:f>Sheet1!$Z$152:$Z$158</c:f>
              <c:numCache>
                <c:formatCode>0.00</c:formatCode>
                <c:ptCount val="6"/>
                <c:pt idx="1">
                  <c:v>3100</c:v>
                </c:pt>
                <c:pt idx="2">
                  <c:v>8500</c:v>
                </c:pt>
              </c:numCache>
            </c:numRef>
          </c:val>
          <c:extLst>
            <c:ext xmlns:c16="http://schemas.microsoft.com/office/drawing/2014/chart" uri="{C3380CC4-5D6E-409C-BE32-E72D297353CC}">
              <c16:uniqueId val="{00000010-EB40-4896-B121-52068E133FC2}"/>
            </c:ext>
          </c:extLst>
        </c:ser>
        <c:dLbls>
          <c:showLegendKey val="0"/>
          <c:showVal val="0"/>
          <c:showCatName val="0"/>
          <c:showSerName val="0"/>
          <c:showPercent val="0"/>
          <c:showBubbleSize val="0"/>
        </c:dLbls>
        <c:gapWidth val="150"/>
        <c:shape val="box"/>
        <c:axId val="1984527359"/>
        <c:axId val="1984527839"/>
        <c:axId val="297799567"/>
      </c:bar3DChart>
      <c:catAx>
        <c:axId val="1984527359"/>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84527839"/>
        <c:crosses val="autoZero"/>
        <c:auto val="1"/>
        <c:lblAlgn val="ctr"/>
        <c:lblOffset val="100"/>
        <c:noMultiLvlLbl val="0"/>
      </c:catAx>
      <c:valAx>
        <c:axId val="1984527839"/>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84527359"/>
        <c:crosses val="autoZero"/>
        <c:crossBetween val="between"/>
      </c:valAx>
      <c:serAx>
        <c:axId val="297799567"/>
        <c:scaling>
          <c:orientation val="minMax"/>
        </c:scaling>
        <c:delete val="0"/>
        <c:axPos val="b"/>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84527839"/>
        <c:crosses val="autoZero"/>
      </c:ser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[day-2.xlsx]Sheet1!PivotTable6</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pieChart>
        <c:varyColors val="1"/>
        <c:ser>
          <c:idx val="0"/>
          <c:order val="0"/>
          <c:tx>
            <c:strRef>
              <c:f>Sheet1!$W$190:$W$191</c:f>
              <c:strCache>
                <c:ptCount val="1"/>
                <c:pt idx="0">
                  <c:v>Beauty</c:v>
                </c:pt>
              </c:strCache>
            </c:strRef>
          </c:tx>
          <c:dPt>
            <c:idx val="0"/>
            <c:bubble3D val="0"/>
            <c:spPr>
              <a:solidFill>
                <a:schemeClr val="accent1"/>
              </a:solidFill>
              <a:ln w="19050">
                <a:solidFill>
                  <a:schemeClr val="lt1"/>
                </a:solidFill>
              </a:ln>
              <a:effectLst/>
            </c:spPr>
          </c:dPt>
          <c:dPt>
            <c:idx val="1"/>
            <c:bubble3D val="0"/>
            <c:spPr>
              <a:solidFill>
                <a:schemeClr val="accent2"/>
              </a:solidFill>
              <a:ln w="19050">
                <a:solidFill>
                  <a:schemeClr val="lt1"/>
                </a:solidFill>
              </a:ln>
              <a:effectLst/>
            </c:spPr>
          </c:dPt>
          <c:dPt>
            <c:idx val="2"/>
            <c:bubble3D val="0"/>
            <c:spPr>
              <a:solidFill>
                <a:schemeClr val="accent3"/>
              </a:solidFill>
              <a:ln w="19050">
                <a:solidFill>
                  <a:schemeClr val="lt1"/>
                </a:solidFill>
              </a:ln>
              <a:effectLst/>
            </c:spPr>
          </c:dPt>
          <c:dPt>
            <c:idx val="3"/>
            <c:bubble3D val="0"/>
            <c:spPr>
              <a:solidFill>
                <a:schemeClr val="accent4"/>
              </a:solidFill>
              <a:ln w="19050">
                <a:solidFill>
                  <a:schemeClr val="lt1"/>
                </a:solidFill>
              </a:ln>
              <a:effectLst/>
            </c:spPr>
          </c:dPt>
          <c:dPt>
            <c:idx val="4"/>
            <c:bubble3D val="0"/>
            <c:spPr>
              <a:solidFill>
                <a:schemeClr val="accent5"/>
              </a:solidFill>
              <a:ln w="19050">
                <a:solidFill>
                  <a:schemeClr val="lt1"/>
                </a:solidFill>
              </a:ln>
              <a:effectLst/>
            </c:spPr>
          </c:dPt>
          <c:dPt>
            <c:idx val="5"/>
            <c:bubble3D val="0"/>
            <c:spPr>
              <a:solidFill>
                <a:schemeClr val="accent6"/>
              </a:solidFill>
              <a:ln w="19050">
                <a:solidFill>
                  <a:schemeClr val="lt1"/>
                </a:solidFill>
              </a:ln>
              <a:effectLst/>
            </c:spPr>
          </c:dPt>
          <c:dPt>
            <c:idx val="6"/>
            <c:bubble3D val="0"/>
            <c:spPr>
              <a:solidFill>
                <a:schemeClr val="accent1">
                  <a:lumMod val="60000"/>
                </a:schemeClr>
              </a:solidFill>
              <a:ln w="19050">
                <a:solidFill>
                  <a:schemeClr val="lt1"/>
                </a:solidFill>
              </a:ln>
              <a:effectLst/>
            </c:spPr>
          </c:dPt>
          <c:dPt>
            <c:idx val="7"/>
            <c:bubble3D val="0"/>
            <c:spPr>
              <a:solidFill>
                <a:schemeClr val="accent2">
                  <a:lumMod val="60000"/>
                </a:schemeClr>
              </a:solidFill>
              <a:ln w="19050">
                <a:solidFill>
                  <a:schemeClr val="lt1"/>
                </a:solidFill>
              </a:ln>
              <a:effectLst/>
            </c:spPr>
          </c:dPt>
          <c:dPt>
            <c:idx val="8"/>
            <c:bubble3D val="0"/>
            <c:spPr>
              <a:solidFill>
                <a:schemeClr val="accent3">
                  <a:lumMod val="60000"/>
                </a:schemeClr>
              </a:solidFill>
              <a:ln w="19050">
                <a:solidFill>
                  <a:schemeClr val="lt1"/>
                </a:solidFill>
              </a:ln>
              <a:effectLst/>
            </c:spPr>
          </c:dPt>
          <c:dPt>
            <c:idx val="9"/>
            <c:bubble3D val="0"/>
            <c:spPr>
              <a:solidFill>
                <a:schemeClr val="accent4">
                  <a:lumMod val="60000"/>
                </a:schemeClr>
              </a:solidFill>
              <a:ln w="19050">
                <a:solidFill>
                  <a:schemeClr val="lt1"/>
                </a:solidFill>
              </a:ln>
              <a:effectLst/>
            </c:spPr>
          </c:dPt>
          <c:dPt>
            <c:idx val="10"/>
            <c:bubble3D val="0"/>
            <c:spPr>
              <a:solidFill>
                <a:schemeClr val="accent5">
                  <a:lumMod val="60000"/>
                </a:schemeClr>
              </a:solidFill>
              <a:ln w="19050">
                <a:solidFill>
                  <a:schemeClr val="lt1"/>
                </a:solidFill>
              </a:ln>
              <a:effectLst/>
            </c:spPr>
          </c:dPt>
          <c:dPt>
            <c:idx val="11"/>
            <c:bubble3D val="0"/>
            <c:spPr>
              <a:solidFill>
                <a:schemeClr val="accent6">
                  <a:lumMod val="60000"/>
                </a:schemeClr>
              </a:solidFill>
              <a:ln w="19050">
                <a:solidFill>
                  <a:schemeClr val="lt1"/>
                </a:solidFill>
              </a:ln>
              <a:effectLst/>
            </c:spPr>
          </c:dPt>
          <c:cat>
            <c:multiLvlStrRef>
              <c:f>Sheet1!$V$192:$V$208</c:f>
              <c:multiLvlStrCache>
                <c:ptCount val="12"/>
                <c:lvl>
                  <c:pt idx="0">
                    <c:v>Female</c:v>
                  </c:pt>
                  <c:pt idx="1">
                    <c:v>Male</c:v>
                  </c:pt>
                  <c:pt idx="2">
                    <c:v>Other</c:v>
                  </c:pt>
                  <c:pt idx="3">
                    <c:v>Female</c:v>
                  </c:pt>
                  <c:pt idx="4">
                    <c:v>Male</c:v>
                  </c:pt>
                  <c:pt idx="5">
                    <c:v>Other</c:v>
                  </c:pt>
                  <c:pt idx="6">
                    <c:v>Female</c:v>
                  </c:pt>
                  <c:pt idx="7">
                    <c:v>Male</c:v>
                  </c:pt>
                  <c:pt idx="8">
                    <c:v>Other</c:v>
                  </c:pt>
                  <c:pt idx="9">
                    <c:v>Female</c:v>
                  </c:pt>
                  <c:pt idx="10">
                    <c:v>Male</c:v>
                  </c:pt>
                  <c:pt idx="11">
                    <c:v>Other</c:v>
                  </c:pt>
                </c:lvl>
                <c:lvl>
                  <c:pt idx="0">
                    <c:v>East</c:v>
                  </c:pt>
                  <c:pt idx="3">
                    <c:v>North</c:v>
                  </c:pt>
                  <c:pt idx="6">
                    <c:v>South</c:v>
                  </c:pt>
                  <c:pt idx="9">
                    <c:v>West</c:v>
                  </c:pt>
                </c:lvl>
              </c:multiLvlStrCache>
            </c:multiLvlStrRef>
          </c:cat>
          <c:val>
            <c:numRef>
              <c:f>Sheet1!$W$192:$W$208</c:f>
              <c:numCache>
                <c:formatCode>0.00</c:formatCode>
                <c:ptCount val="12"/>
                <c:pt idx="1">
                  <c:v>3200</c:v>
                </c:pt>
                <c:pt idx="5">
                  <c:v>14600</c:v>
                </c:pt>
                <c:pt idx="6">
                  <c:v>2800</c:v>
                </c:pt>
                <c:pt idx="8">
                  <c:v>3400</c:v>
                </c:pt>
                <c:pt idx="9">
                  <c:v>2800</c:v>
                </c:pt>
                <c:pt idx="11">
                  <c:v>3100</c:v>
                </c:pt>
              </c:numCache>
            </c:numRef>
          </c:val>
          <c:extLst>
            <c:ext xmlns:c16="http://schemas.microsoft.com/office/drawing/2014/chart" uri="{C3380CC4-5D6E-409C-BE32-E72D297353CC}">
              <c16:uniqueId val="{00000000-05B6-4754-AE73-FE97249674D8}"/>
            </c:ext>
          </c:extLst>
        </c:ser>
        <c:ser>
          <c:idx val="1"/>
          <c:order val="1"/>
          <c:tx>
            <c:strRef>
              <c:f>Sheet1!$X$190:$X$191</c:f>
              <c:strCache>
                <c:ptCount val="1"/>
                <c:pt idx="0">
                  <c:v>Books</c:v>
                </c:pt>
              </c:strCache>
            </c:strRef>
          </c:tx>
          <c:dPt>
            <c:idx val="0"/>
            <c:bubble3D val="0"/>
            <c:spPr>
              <a:solidFill>
                <a:schemeClr val="accent1"/>
              </a:solidFill>
              <a:ln w="19050">
                <a:solidFill>
                  <a:schemeClr val="lt1"/>
                </a:solidFill>
              </a:ln>
              <a:effectLst/>
            </c:spPr>
          </c:dPt>
          <c:dPt>
            <c:idx val="1"/>
            <c:bubble3D val="0"/>
            <c:spPr>
              <a:solidFill>
                <a:schemeClr val="accent2"/>
              </a:solidFill>
              <a:ln w="19050">
                <a:solidFill>
                  <a:schemeClr val="lt1"/>
                </a:solidFill>
              </a:ln>
              <a:effectLst/>
            </c:spPr>
          </c:dPt>
          <c:dPt>
            <c:idx val="2"/>
            <c:bubble3D val="0"/>
            <c:spPr>
              <a:solidFill>
                <a:schemeClr val="accent3"/>
              </a:solidFill>
              <a:ln w="19050">
                <a:solidFill>
                  <a:schemeClr val="lt1"/>
                </a:solidFill>
              </a:ln>
              <a:effectLst/>
            </c:spPr>
          </c:dPt>
          <c:dPt>
            <c:idx val="3"/>
            <c:bubble3D val="0"/>
            <c:spPr>
              <a:solidFill>
                <a:schemeClr val="accent4"/>
              </a:solidFill>
              <a:ln w="19050">
                <a:solidFill>
                  <a:schemeClr val="lt1"/>
                </a:solidFill>
              </a:ln>
              <a:effectLst/>
            </c:spPr>
          </c:dPt>
          <c:dPt>
            <c:idx val="4"/>
            <c:bubble3D val="0"/>
            <c:spPr>
              <a:solidFill>
                <a:schemeClr val="accent5"/>
              </a:solidFill>
              <a:ln w="19050">
                <a:solidFill>
                  <a:schemeClr val="lt1"/>
                </a:solidFill>
              </a:ln>
              <a:effectLst/>
            </c:spPr>
          </c:dPt>
          <c:dPt>
            <c:idx val="5"/>
            <c:bubble3D val="0"/>
            <c:spPr>
              <a:solidFill>
                <a:schemeClr val="accent6"/>
              </a:solidFill>
              <a:ln w="19050">
                <a:solidFill>
                  <a:schemeClr val="lt1"/>
                </a:solidFill>
              </a:ln>
              <a:effectLst/>
            </c:spPr>
          </c:dPt>
          <c:dPt>
            <c:idx val="6"/>
            <c:bubble3D val="0"/>
            <c:spPr>
              <a:solidFill>
                <a:schemeClr val="accent1">
                  <a:lumMod val="60000"/>
                </a:schemeClr>
              </a:solidFill>
              <a:ln w="19050">
                <a:solidFill>
                  <a:schemeClr val="lt1"/>
                </a:solidFill>
              </a:ln>
              <a:effectLst/>
            </c:spPr>
          </c:dPt>
          <c:dPt>
            <c:idx val="7"/>
            <c:bubble3D val="0"/>
            <c:spPr>
              <a:solidFill>
                <a:schemeClr val="accent2">
                  <a:lumMod val="60000"/>
                </a:schemeClr>
              </a:solidFill>
              <a:ln w="19050">
                <a:solidFill>
                  <a:schemeClr val="lt1"/>
                </a:solidFill>
              </a:ln>
              <a:effectLst/>
            </c:spPr>
          </c:dPt>
          <c:dPt>
            <c:idx val="8"/>
            <c:bubble3D val="0"/>
            <c:spPr>
              <a:solidFill>
                <a:schemeClr val="accent3">
                  <a:lumMod val="60000"/>
                </a:schemeClr>
              </a:solidFill>
              <a:ln w="19050">
                <a:solidFill>
                  <a:schemeClr val="lt1"/>
                </a:solidFill>
              </a:ln>
              <a:effectLst/>
            </c:spPr>
          </c:dPt>
          <c:dPt>
            <c:idx val="9"/>
            <c:bubble3D val="0"/>
            <c:spPr>
              <a:solidFill>
                <a:schemeClr val="accent4">
                  <a:lumMod val="60000"/>
                </a:schemeClr>
              </a:solidFill>
              <a:ln w="19050">
                <a:solidFill>
                  <a:schemeClr val="lt1"/>
                </a:solidFill>
              </a:ln>
              <a:effectLst/>
            </c:spPr>
          </c:dPt>
          <c:dPt>
            <c:idx val="10"/>
            <c:bubble3D val="0"/>
            <c:spPr>
              <a:solidFill>
                <a:schemeClr val="accent5">
                  <a:lumMod val="60000"/>
                </a:schemeClr>
              </a:solidFill>
              <a:ln w="19050">
                <a:solidFill>
                  <a:schemeClr val="lt1"/>
                </a:solidFill>
              </a:ln>
              <a:effectLst/>
            </c:spPr>
          </c:dPt>
          <c:dPt>
            <c:idx val="11"/>
            <c:bubble3D val="0"/>
            <c:spPr>
              <a:solidFill>
                <a:schemeClr val="accent6">
                  <a:lumMod val="60000"/>
                </a:schemeClr>
              </a:solidFill>
              <a:ln w="19050">
                <a:solidFill>
                  <a:schemeClr val="lt1"/>
                </a:solidFill>
              </a:ln>
              <a:effectLst/>
            </c:spPr>
          </c:dPt>
          <c:cat>
            <c:multiLvlStrRef>
              <c:f>Sheet1!$V$192:$V$208</c:f>
              <c:multiLvlStrCache>
                <c:ptCount val="12"/>
                <c:lvl>
                  <c:pt idx="0">
                    <c:v>Female</c:v>
                  </c:pt>
                  <c:pt idx="1">
                    <c:v>Male</c:v>
                  </c:pt>
                  <c:pt idx="2">
                    <c:v>Other</c:v>
                  </c:pt>
                  <c:pt idx="3">
                    <c:v>Female</c:v>
                  </c:pt>
                  <c:pt idx="4">
                    <c:v>Male</c:v>
                  </c:pt>
                  <c:pt idx="5">
                    <c:v>Other</c:v>
                  </c:pt>
                  <c:pt idx="6">
                    <c:v>Female</c:v>
                  </c:pt>
                  <c:pt idx="7">
                    <c:v>Male</c:v>
                  </c:pt>
                  <c:pt idx="8">
                    <c:v>Other</c:v>
                  </c:pt>
                  <c:pt idx="9">
                    <c:v>Female</c:v>
                  </c:pt>
                  <c:pt idx="10">
                    <c:v>Male</c:v>
                  </c:pt>
                  <c:pt idx="11">
                    <c:v>Other</c:v>
                  </c:pt>
                </c:lvl>
                <c:lvl>
                  <c:pt idx="0">
                    <c:v>East</c:v>
                  </c:pt>
                  <c:pt idx="3">
                    <c:v>North</c:v>
                  </c:pt>
                  <c:pt idx="6">
                    <c:v>South</c:v>
                  </c:pt>
                  <c:pt idx="9">
                    <c:v>West</c:v>
                  </c:pt>
                </c:lvl>
              </c:multiLvlStrCache>
            </c:multiLvlStrRef>
          </c:cat>
          <c:val>
            <c:numRef>
              <c:f>Sheet1!$X$192:$X$208</c:f>
              <c:numCache>
                <c:formatCode>0.00</c:formatCode>
                <c:ptCount val="12"/>
                <c:pt idx="0">
                  <c:v>12100</c:v>
                </c:pt>
                <c:pt idx="4">
                  <c:v>4900</c:v>
                </c:pt>
                <c:pt idx="7">
                  <c:v>4100</c:v>
                </c:pt>
                <c:pt idx="8">
                  <c:v>5400</c:v>
                </c:pt>
                <c:pt idx="10">
                  <c:v>5900</c:v>
                </c:pt>
              </c:numCache>
            </c:numRef>
          </c:val>
          <c:extLst>
            <c:ext xmlns:c16="http://schemas.microsoft.com/office/drawing/2014/chart" uri="{C3380CC4-5D6E-409C-BE32-E72D297353CC}">
              <c16:uniqueId val="{00000001-05B6-4754-AE73-FE97249674D8}"/>
            </c:ext>
          </c:extLst>
        </c:ser>
        <c:ser>
          <c:idx val="2"/>
          <c:order val="2"/>
          <c:tx>
            <c:strRef>
              <c:f>Sheet1!$Y$190:$Y$191</c:f>
              <c:strCache>
                <c:ptCount val="1"/>
                <c:pt idx="0">
                  <c:v>Clothing</c:v>
                </c:pt>
              </c:strCache>
            </c:strRef>
          </c:tx>
          <c:dPt>
            <c:idx val="0"/>
            <c:bubble3D val="0"/>
            <c:spPr>
              <a:solidFill>
                <a:schemeClr val="accent1"/>
              </a:solidFill>
              <a:ln w="19050">
                <a:solidFill>
                  <a:schemeClr val="lt1"/>
                </a:solidFill>
              </a:ln>
              <a:effectLst/>
            </c:spPr>
          </c:dPt>
          <c:dPt>
            <c:idx val="1"/>
            <c:bubble3D val="0"/>
            <c:spPr>
              <a:solidFill>
                <a:schemeClr val="accent2"/>
              </a:solidFill>
              <a:ln w="19050">
                <a:solidFill>
                  <a:schemeClr val="lt1"/>
                </a:solidFill>
              </a:ln>
              <a:effectLst/>
            </c:spPr>
          </c:dPt>
          <c:dPt>
            <c:idx val="2"/>
            <c:bubble3D val="0"/>
            <c:spPr>
              <a:solidFill>
                <a:schemeClr val="accent3"/>
              </a:solidFill>
              <a:ln w="19050">
                <a:solidFill>
                  <a:schemeClr val="lt1"/>
                </a:solidFill>
              </a:ln>
              <a:effectLst/>
            </c:spPr>
          </c:dPt>
          <c:dPt>
            <c:idx val="3"/>
            <c:bubble3D val="0"/>
            <c:spPr>
              <a:solidFill>
                <a:schemeClr val="accent4"/>
              </a:solidFill>
              <a:ln w="19050">
                <a:solidFill>
                  <a:schemeClr val="lt1"/>
                </a:solidFill>
              </a:ln>
              <a:effectLst/>
            </c:spPr>
          </c:dPt>
          <c:dPt>
            <c:idx val="4"/>
            <c:bubble3D val="0"/>
            <c:spPr>
              <a:solidFill>
                <a:schemeClr val="accent5"/>
              </a:solidFill>
              <a:ln w="19050">
                <a:solidFill>
                  <a:schemeClr val="lt1"/>
                </a:solidFill>
              </a:ln>
              <a:effectLst/>
            </c:spPr>
          </c:dPt>
          <c:dPt>
            <c:idx val="5"/>
            <c:bubble3D val="0"/>
            <c:spPr>
              <a:solidFill>
                <a:schemeClr val="accent6"/>
              </a:solidFill>
              <a:ln w="19050">
                <a:solidFill>
                  <a:schemeClr val="lt1"/>
                </a:solidFill>
              </a:ln>
              <a:effectLst/>
            </c:spPr>
          </c:dPt>
          <c:dPt>
            <c:idx val="6"/>
            <c:bubble3D val="0"/>
            <c:spPr>
              <a:solidFill>
                <a:schemeClr val="accent1">
                  <a:lumMod val="60000"/>
                </a:schemeClr>
              </a:solidFill>
              <a:ln w="19050">
                <a:solidFill>
                  <a:schemeClr val="lt1"/>
                </a:solidFill>
              </a:ln>
              <a:effectLst/>
            </c:spPr>
          </c:dPt>
          <c:dPt>
            <c:idx val="7"/>
            <c:bubble3D val="0"/>
            <c:spPr>
              <a:solidFill>
                <a:schemeClr val="accent2">
                  <a:lumMod val="60000"/>
                </a:schemeClr>
              </a:solidFill>
              <a:ln w="19050">
                <a:solidFill>
                  <a:schemeClr val="lt1"/>
                </a:solidFill>
              </a:ln>
              <a:effectLst/>
            </c:spPr>
          </c:dPt>
          <c:dPt>
            <c:idx val="8"/>
            <c:bubble3D val="0"/>
            <c:spPr>
              <a:solidFill>
                <a:schemeClr val="accent3">
                  <a:lumMod val="60000"/>
                </a:schemeClr>
              </a:solidFill>
              <a:ln w="19050">
                <a:solidFill>
                  <a:schemeClr val="lt1"/>
                </a:solidFill>
              </a:ln>
              <a:effectLst/>
            </c:spPr>
          </c:dPt>
          <c:dPt>
            <c:idx val="9"/>
            <c:bubble3D val="0"/>
            <c:spPr>
              <a:solidFill>
                <a:schemeClr val="accent4">
                  <a:lumMod val="60000"/>
                </a:schemeClr>
              </a:solidFill>
              <a:ln w="19050">
                <a:solidFill>
                  <a:schemeClr val="lt1"/>
                </a:solidFill>
              </a:ln>
              <a:effectLst/>
            </c:spPr>
          </c:dPt>
          <c:dPt>
            <c:idx val="10"/>
            <c:bubble3D val="0"/>
            <c:spPr>
              <a:solidFill>
                <a:schemeClr val="accent5">
                  <a:lumMod val="60000"/>
                </a:schemeClr>
              </a:solidFill>
              <a:ln w="19050">
                <a:solidFill>
                  <a:schemeClr val="lt1"/>
                </a:solidFill>
              </a:ln>
              <a:effectLst/>
            </c:spPr>
          </c:dPt>
          <c:dPt>
            <c:idx val="11"/>
            <c:bubble3D val="0"/>
            <c:spPr>
              <a:solidFill>
                <a:schemeClr val="accent6">
                  <a:lumMod val="60000"/>
                </a:schemeClr>
              </a:solidFill>
              <a:ln w="19050">
                <a:solidFill>
                  <a:schemeClr val="lt1"/>
                </a:solidFill>
              </a:ln>
              <a:effectLst/>
            </c:spPr>
          </c:dPt>
          <c:cat>
            <c:multiLvlStrRef>
              <c:f>Sheet1!$V$192:$V$208</c:f>
              <c:multiLvlStrCache>
                <c:ptCount val="12"/>
                <c:lvl>
                  <c:pt idx="0">
                    <c:v>Female</c:v>
                  </c:pt>
                  <c:pt idx="1">
                    <c:v>Male</c:v>
                  </c:pt>
                  <c:pt idx="2">
                    <c:v>Other</c:v>
                  </c:pt>
                  <c:pt idx="3">
                    <c:v>Female</c:v>
                  </c:pt>
                  <c:pt idx="4">
                    <c:v>Male</c:v>
                  </c:pt>
                  <c:pt idx="5">
                    <c:v>Other</c:v>
                  </c:pt>
                  <c:pt idx="6">
                    <c:v>Female</c:v>
                  </c:pt>
                  <c:pt idx="7">
                    <c:v>Male</c:v>
                  </c:pt>
                  <c:pt idx="8">
                    <c:v>Other</c:v>
                  </c:pt>
                  <c:pt idx="9">
                    <c:v>Female</c:v>
                  </c:pt>
                  <c:pt idx="10">
                    <c:v>Male</c:v>
                  </c:pt>
                  <c:pt idx="11">
                    <c:v>Other</c:v>
                  </c:pt>
                </c:lvl>
                <c:lvl>
                  <c:pt idx="0">
                    <c:v>East</c:v>
                  </c:pt>
                  <c:pt idx="3">
                    <c:v>North</c:v>
                  </c:pt>
                  <c:pt idx="6">
                    <c:v>South</c:v>
                  </c:pt>
                  <c:pt idx="9">
                    <c:v>West</c:v>
                  </c:pt>
                </c:lvl>
              </c:multiLvlStrCache>
            </c:multiLvlStrRef>
          </c:cat>
          <c:val>
            <c:numRef>
              <c:f>Sheet1!$Y$192:$Y$208</c:f>
              <c:numCache>
                <c:formatCode>0.00</c:formatCode>
                <c:ptCount val="12"/>
                <c:pt idx="1">
                  <c:v>6400</c:v>
                </c:pt>
                <c:pt idx="2">
                  <c:v>6800</c:v>
                </c:pt>
                <c:pt idx="3">
                  <c:v>5200</c:v>
                </c:pt>
                <c:pt idx="8">
                  <c:v>3100</c:v>
                </c:pt>
              </c:numCache>
            </c:numRef>
          </c:val>
          <c:extLst>
            <c:ext xmlns:c16="http://schemas.microsoft.com/office/drawing/2014/chart" uri="{C3380CC4-5D6E-409C-BE32-E72D297353CC}">
              <c16:uniqueId val="{00000002-05B6-4754-AE73-FE97249674D8}"/>
            </c:ext>
          </c:extLst>
        </c:ser>
        <c:ser>
          <c:idx val="3"/>
          <c:order val="3"/>
          <c:tx>
            <c:strRef>
              <c:f>Sheet1!$Z$190:$Z$191</c:f>
              <c:strCache>
                <c:ptCount val="1"/>
                <c:pt idx="0">
                  <c:v>Electronics</c:v>
                </c:pt>
              </c:strCache>
            </c:strRef>
          </c:tx>
          <c:dPt>
            <c:idx val="0"/>
            <c:bubble3D val="0"/>
            <c:spPr>
              <a:solidFill>
                <a:schemeClr val="accent1"/>
              </a:solidFill>
              <a:ln w="19050">
                <a:solidFill>
                  <a:schemeClr val="lt1"/>
                </a:solidFill>
              </a:ln>
              <a:effectLst/>
            </c:spPr>
          </c:dPt>
          <c:dPt>
            <c:idx val="1"/>
            <c:bubble3D val="0"/>
            <c:spPr>
              <a:solidFill>
                <a:schemeClr val="accent2"/>
              </a:solidFill>
              <a:ln w="19050">
                <a:solidFill>
                  <a:schemeClr val="lt1"/>
                </a:solidFill>
              </a:ln>
              <a:effectLst/>
            </c:spPr>
          </c:dPt>
          <c:dPt>
            <c:idx val="2"/>
            <c:bubble3D val="0"/>
            <c:spPr>
              <a:solidFill>
                <a:schemeClr val="accent3"/>
              </a:solidFill>
              <a:ln w="19050">
                <a:solidFill>
                  <a:schemeClr val="lt1"/>
                </a:solidFill>
              </a:ln>
              <a:effectLst/>
            </c:spPr>
          </c:dPt>
          <c:dPt>
            <c:idx val="3"/>
            <c:bubble3D val="0"/>
            <c:spPr>
              <a:solidFill>
                <a:schemeClr val="accent4"/>
              </a:solidFill>
              <a:ln w="19050">
                <a:solidFill>
                  <a:schemeClr val="lt1"/>
                </a:solidFill>
              </a:ln>
              <a:effectLst/>
            </c:spPr>
          </c:dPt>
          <c:dPt>
            <c:idx val="4"/>
            <c:bubble3D val="0"/>
            <c:spPr>
              <a:solidFill>
                <a:schemeClr val="accent5"/>
              </a:solidFill>
              <a:ln w="19050">
                <a:solidFill>
                  <a:schemeClr val="lt1"/>
                </a:solidFill>
              </a:ln>
              <a:effectLst/>
            </c:spPr>
          </c:dPt>
          <c:dPt>
            <c:idx val="5"/>
            <c:bubble3D val="0"/>
            <c:spPr>
              <a:solidFill>
                <a:schemeClr val="accent6"/>
              </a:solidFill>
              <a:ln w="19050">
                <a:solidFill>
                  <a:schemeClr val="lt1"/>
                </a:solidFill>
              </a:ln>
              <a:effectLst/>
            </c:spPr>
          </c:dPt>
          <c:dPt>
            <c:idx val="6"/>
            <c:bubble3D val="0"/>
            <c:spPr>
              <a:solidFill>
                <a:schemeClr val="accent1">
                  <a:lumMod val="60000"/>
                </a:schemeClr>
              </a:solidFill>
              <a:ln w="19050">
                <a:solidFill>
                  <a:schemeClr val="lt1"/>
                </a:solidFill>
              </a:ln>
              <a:effectLst/>
            </c:spPr>
          </c:dPt>
          <c:dPt>
            <c:idx val="7"/>
            <c:bubble3D val="0"/>
            <c:spPr>
              <a:solidFill>
                <a:schemeClr val="accent2">
                  <a:lumMod val="60000"/>
                </a:schemeClr>
              </a:solidFill>
              <a:ln w="19050">
                <a:solidFill>
                  <a:schemeClr val="lt1"/>
                </a:solidFill>
              </a:ln>
              <a:effectLst/>
            </c:spPr>
          </c:dPt>
          <c:dPt>
            <c:idx val="8"/>
            <c:bubble3D val="0"/>
            <c:spPr>
              <a:solidFill>
                <a:schemeClr val="accent3">
                  <a:lumMod val="60000"/>
                </a:schemeClr>
              </a:solidFill>
              <a:ln w="19050">
                <a:solidFill>
                  <a:schemeClr val="lt1"/>
                </a:solidFill>
              </a:ln>
              <a:effectLst/>
            </c:spPr>
          </c:dPt>
          <c:dPt>
            <c:idx val="9"/>
            <c:bubble3D val="0"/>
            <c:spPr>
              <a:solidFill>
                <a:schemeClr val="accent4">
                  <a:lumMod val="60000"/>
                </a:schemeClr>
              </a:solidFill>
              <a:ln w="19050">
                <a:solidFill>
                  <a:schemeClr val="lt1"/>
                </a:solidFill>
              </a:ln>
              <a:effectLst/>
            </c:spPr>
          </c:dPt>
          <c:dPt>
            <c:idx val="10"/>
            <c:bubble3D val="0"/>
            <c:spPr>
              <a:solidFill>
                <a:schemeClr val="accent5">
                  <a:lumMod val="60000"/>
                </a:schemeClr>
              </a:solidFill>
              <a:ln w="19050">
                <a:solidFill>
                  <a:schemeClr val="lt1"/>
                </a:solidFill>
              </a:ln>
              <a:effectLst/>
            </c:spPr>
          </c:dPt>
          <c:dPt>
            <c:idx val="11"/>
            <c:bubble3D val="0"/>
            <c:spPr>
              <a:solidFill>
                <a:schemeClr val="accent6">
                  <a:lumMod val="60000"/>
                </a:schemeClr>
              </a:solidFill>
              <a:ln w="19050">
                <a:solidFill>
                  <a:schemeClr val="lt1"/>
                </a:solidFill>
              </a:ln>
              <a:effectLst/>
            </c:spPr>
          </c:dPt>
          <c:cat>
            <c:multiLvlStrRef>
              <c:f>Sheet1!$V$192:$V$208</c:f>
              <c:multiLvlStrCache>
                <c:ptCount val="12"/>
                <c:lvl>
                  <c:pt idx="0">
                    <c:v>Female</c:v>
                  </c:pt>
                  <c:pt idx="1">
                    <c:v>Male</c:v>
                  </c:pt>
                  <c:pt idx="2">
                    <c:v>Other</c:v>
                  </c:pt>
                  <c:pt idx="3">
                    <c:v>Female</c:v>
                  </c:pt>
                  <c:pt idx="4">
                    <c:v>Male</c:v>
                  </c:pt>
                  <c:pt idx="5">
                    <c:v>Other</c:v>
                  </c:pt>
                  <c:pt idx="6">
                    <c:v>Female</c:v>
                  </c:pt>
                  <c:pt idx="7">
                    <c:v>Male</c:v>
                  </c:pt>
                  <c:pt idx="8">
                    <c:v>Other</c:v>
                  </c:pt>
                  <c:pt idx="9">
                    <c:v>Female</c:v>
                  </c:pt>
                  <c:pt idx="10">
                    <c:v>Male</c:v>
                  </c:pt>
                  <c:pt idx="11">
                    <c:v>Other</c:v>
                  </c:pt>
                </c:lvl>
                <c:lvl>
                  <c:pt idx="0">
                    <c:v>East</c:v>
                  </c:pt>
                  <c:pt idx="3">
                    <c:v>North</c:v>
                  </c:pt>
                  <c:pt idx="6">
                    <c:v>South</c:v>
                  </c:pt>
                  <c:pt idx="9">
                    <c:v>West</c:v>
                  </c:pt>
                </c:lvl>
              </c:multiLvlStrCache>
            </c:multiLvlStrRef>
          </c:cat>
          <c:val>
            <c:numRef>
              <c:f>Sheet1!$Z$192:$Z$208</c:f>
              <c:numCache>
                <c:formatCode>0.00</c:formatCode>
                <c:ptCount val="12"/>
                <c:pt idx="0">
                  <c:v>2600</c:v>
                </c:pt>
                <c:pt idx="1">
                  <c:v>3400</c:v>
                </c:pt>
                <c:pt idx="4">
                  <c:v>8400</c:v>
                </c:pt>
                <c:pt idx="5">
                  <c:v>15600</c:v>
                </c:pt>
                <c:pt idx="6">
                  <c:v>2500</c:v>
                </c:pt>
                <c:pt idx="7">
                  <c:v>3600</c:v>
                </c:pt>
                <c:pt idx="9">
                  <c:v>4500</c:v>
                </c:pt>
                <c:pt idx="11">
                  <c:v>4300</c:v>
                </c:pt>
              </c:numCache>
            </c:numRef>
          </c:val>
          <c:extLst>
            <c:ext xmlns:c16="http://schemas.microsoft.com/office/drawing/2014/chart" uri="{C3380CC4-5D6E-409C-BE32-E72D297353CC}">
              <c16:uniqueId val="{00000003-05B6-4754-AE73-FE97249674D8}"/>
            </c:ext>
          </c:extLst>
        </c:ser>
        <c:ser>
          <c:idx val="4"/>
          <c:order val="4"/>
          <c:tx>
            <c:strRef>
              <c:f>Sheet1!$AA$190:$AA$191</c:f>
              <c:strCache>
                <c:ptCount val="1"/>
                <c:pt idx="0">
                  <c:v>Home &amp; Kitchen</c:v>
                </c:pt>
              </c:strCache>
            </c:strRef>
          </c:tx>
          <c:dPt>
            <c:idx val="0"/>
            <c:bubble3D val="0"/>
            <c:spPr>
              <a:solidFill>
                <a:schemeClr val="accent1"/>
              </a:solidFill>
              <a:ln w="19050">
                <a:solidFill>
                  <a:schemeClr val="lt1"/>
                </a:solidFill>
              </a:ln>
              <a:effectLst/>
            </c:spPr>
          </c:dPt>
          <c:dPt>
            <c:idx val="1"/>
            <c:bubble3D val="0"/>
            <c:spPr>
              <a:solidFill>
                <a:schemeClr val="accent2"/>
              </a:solidFill>
              <a:ln w="19050">
                <a:solidFill>
                  <a:schemeClr val="lt1"/>
                </a:solidFill>
              </a:ln>
              <a:effectLst/>
            </c:spPr>
          </c:dPt>
          <c:dPt>
            <c:idx val="2"/>
            <c:bubble3D val="0"/>
            <c:spPr>
              <a:solidFill>
                <a:schemeClr val="accent3"/>
              </a:solidFill>
              <a:ln w="19050">
                <a:solidFill>
                  <a:schemeClr val="lt1"/>
                </a:solidFill>
              </a:ln>
              <a:effectLst/>
            </c:spPr>
          </c:dPt>
          <c:dPt>
            <c:idx val="3"/>
            <c:bubble3D val="0"/>
            <c:spPr>
              <a:solidFill>
                <a:schemeClr val="accent4"/>
              </a:solidFill>
              <a:ln w="19050">
                <a:solidFill>
                  <a:schemeClr val="lt1"/>
                </a:solidFill>
              </a:ln>
              <a:effectLst/>
            </c:spPr>
          </c:dPt>
          <c:dPt>
            <c:idx val="4"/>
            <c:bubble3D val="0"/>
            <c:spPr>
              <a:solidFill>
                <a:schemeClr val="accent5"/>
              </a:solidFill>
              <a:ln w="19050">
                <a:solidFill>
                  <a:schemeClr val="lt1"/>
                </a:solidFill>
              </a:ln>
              <a:effectLst/>
            </c:spPr>
          </c:dPt>
          <c:dPt>
            <c:idx val="5"/>
            <c:bubble3D val="0"/>
            <c:spPr>
              <a:solidFill>
                <a:schemeClr val="accent6"/>
              </a:solidFill>
              <a:ln w="19050">
                <a:solidFill>
                  <a:schemeClr val="lt1"/>
                </a:solidFill>
              </a:ln>
              <a:effectLst/>
            </c:spPr>
          </c:dPt>
          <c:dPt>
            <c:idx val="6"/>
            <c:bubble3D val="0"/>
            <c:spPr>
              <a:solidFill>
                <a:schemeClr val="accent1">
                  <a:lumMod val="60000"/>
                </a:schemeClr>
              </a:solidFill>
              <a:ln w="19050">
                <a:solidFill>
                  <a:schemeClr val="lt1"/>
                </a:solidFill>
              </a:ln>
              <a:effectLst/>
            </c:spPr>
          </c:dPt>
          <c:dPt>
            <c:idx val="7"/>
            <c:bubble3D val="0"/>
            <c:spPr>
              <a:solidFill>
                <a:schemeClr val="accent2">
                  <a:lumMod val="60000"/>
                </a:schemeClr>
              </a:solidFill>
              <a:ln w="19050">
                <a:solidFill>
                  <a:schemeClr val="lt1"/>
                </a:solidFill>
              </a:ln>
              <a:effectLst/>
            </c:spPr>
          </c:dPt>
          <c:dPt>
            <c:idx val="8"/>
            <c:bubble3D val="0"/>
            <c:spPr>
              <a:solidFill>
                <a:schemeClr val="accent3">
                  <a:lumMod val="60000"/>
                </a:schemeClr>
              </a:solidFill>
              <a:ln w="19050">
                <a:solidFill>
                  <a:schemeClr val="lt1"/>
                </a:solidFill>
              </a:ln>
              <a:effectLst/>
            </c:spPr>
          </c:dPt>
          <c:dPt>
            <c:idx val="9"/>
            <c:bubble3D val="0"/>
            <c:spPr>
              <a:solidFill>
                <a:schemeClr val="accent4">
                  <a:lumMod val="60000"/>
                </a:schemeClr>
              </a:solidFill>
              <a:ln w="19050">
                <a:solidFill>
                  <a:schemeClr val="lt1"/>
                </a:solidFill>
              </a:ln>
              <a:effectLst/>
            </c:spPr>
          </c:dPt>
          <c:dPt>
            <c:idx val="10"/>
            <c:bubble3D val="0"/>
            <c:spPr>
              <a:solidFill>
                <a:schemeClr val="accent5">
                  <a:lumMod val="60000"/>
                </a:schemeClr>
              </a:solidFill>
              <a:ln w="19050">
                <a:solidFill>
                  <a:schemeClr val="lt1"/>
                </a:solidFill>
              </a:ln>
              <a:effectLst/>
            </c:spPr>
          </c:dPt>
          <c:dPt>
            <c:idx val="11"/>
            <c:bubble3D val="0"/>
            <c:spPr>
              <a:solidFill>
                <a:schemeClr val="accent6">
                  <a:lumMod val="60000"/>
                </a:schemeClr>
              </a:solidFill>
              <a:ln w="19050">
                <a:solidFill>
                  <a:schemeClr val="lt1"/>
                </a:solidFill>
              </a:ln>
              <a:effectLst/>
            </c:spPr>
          </c:dPt>
          <c:cat>
            <c:multiLvlStrRef>
              <c:f>Sheet1!$V$192:$V$208</c:f>
              <c:multiLvlStrCache>
                <c:ptCount val="12"/>
                <c:lvl>
                  <c:pt idx="0">
                    <c:v>Female</c:v>
                  </c:pt>
                  <c:pt idx="1">
                    <c:v>Male</c:v>
                  </c:pt>
                  <c:pt idx="2">
                    <c:v>Other</c:v>
                  </c:pt>
                  <c:pt idx="3">
                    <c:v>Female</c:v>
                  </c:pt>
                  <c:pt idx="4">
                    <c:v>Male</c:v>
                  </c:pt>
                  <c:pt idx="5">
                    <c:v>Other</c:v>
                  </c:pt>
                  <c:pt idx="6">
                    <c:v>Female</c:v>
                  </c:pt>
                  <c:pt idx="7">
                    <c:v>Male</c:v>
                  </c:pt>
                  <c:pt idx="8">
                    <c:v>Other</c:v>
                  </c:pt>
                  <c:pt idx="9">
                    <c:v>Female</c:v>
                  </c:pt>
                  <c:pt idx="10">
                    <c:v>Male</c:v>
                  </c:pt>
                  <c:pt idx="11">
                    <c:v>Other</c:v>
                  </c:pt>
                </c:lvl>
                <c:lvl>
                  <c:pt idx="0">
                    <c:v>East</c:v>
                  </c:pt>
                  <c:pt idx="3">
                    <c:v>North</c:v>
                  </c:pt>
                  <c:pt idx="6">
                    <c:v>South</c:v>
                  </c:pt>
                  <c:pt idx="9">
                    <c:v>West</c:v>
                  </c:pt>
                </c:lvl>
              </c:multiLvlStrCache>
            </c:multiLvlStrRef>
          </c:cat>
          <c:val>
            <c:numRef>
              <c:f>Sheet1!$AA$192:$AA$208</c:f>
              <c:numCache>
                <c:formatCode>0.00</c:formatCode>
                <c:ptCount val="12"/>
                <c:pt idx="2">
                  <c:v>7700</c:v>
                </c:pt>
                <c:pt idx="7">
                  <c:v>4600</c:v>
                </c:pt>
                <c:pt idx="8">
                  <c:v>4200</c:v>
                </c:pt>
                <c:pt idx="10">
                  <c:v>6500</c:v>
                </c:pt>
              </c:numCache>
            </c:numRef>
          </c:val>
          <c:extLst>
            <c:ext xmlns:c16="http://schemas.microsoft.com/office/drawing/2014/chart" uri="{C3380CC4-5D6E-409C-BE32-E72D297353CC}">
              <c16:uniqueId val="{00000004-05B6-4754-AE73-FE97249674D8}"/>
            </c:ext>
          </c:extLst>
        </c:ser>
        <c:ser>
          <c:idx val="5"/>
          <c:order val="5"/>
          <c:tx>
            <c:strRef>
              <c:f>Sheet1!$AB$190:$AB$191</c:f>
              <c:strCache>
                <c:ptCount val="1"/>
                <c:pt idx="0">
                  <c:v>Sports</c:v>
                </c:pt>
              </c:strCache>
            </c:strRef>
          </c:tx>
          <c:dPt>
            <c:idx val="0"/>
            <c:bubble3D val="0"/>
            <c:spPr>
              <a:solidFill>
                <a:schemeClr val="accent1"/>
              </a:solidFill>
              <a:ln w="19050">
                <a:solidFill>
                  <a:schemeClr val="lt1"/>
                </a:solidFill>
              </a:ln>
              <a:effectLst/>
            </c:spPr>
          </c:dPt>
          <c:dPt>
            <c:idx val="1"/>
            <c:bubble3D val="0"/>
            <c:spPr>
              <a:solidFill>
                <a:schemeClr val="accent2"/>
              </a:solidFill>
              <a:ln w="19050">
                <a:solidFill>
                  <a:schemeClr val="lt1"/>
                </a:solidFill>
              </a:ln>
              <a:effectLst/>
            </c:spPr>
          </c:dPt>
          <c:dPt>
            <c:idx val="2"/>
            <c:bubble3D val="0"/>
            <c:spPr>
              <a:solidFill>
                <a:schemeClr val="accent3"/>
              </a:solidFill>
              <a:ln w="19050">
                <a:solidFill>
                  <a:schemeClr val="lt1"/>
                </a:solidFill>
              </a:ln>
              <a:effectLst/>
            </c:spPr>
          </c:dPt>
          <c:dPt>
            <c:idx val="3"/>
            <c:bubble3D val="0"/>
            <c:spPr>
              <a:solidFill>
                <a:schemeClr val="accent4"/>
              </a:solidFill>
              <a:ln w="19050">
                <a:solidFill>
                  <a:schemeClr val="lt1"/>
                </a:solidFill>
              </a:ln>
              <a:effectLst/>
            </c:spPr>
          </c:dPt>
          <c:dPt>
            <c:idx val="4"/>
            <c:bubble3D val="0"/>
            <c:spPr>
              <a:solidFill>
                <a:schemeClr val="accent5"/>
              </a:solidFill>
              <a:ln w="19050">
                <a:solidFill>
                  <a:schemeClr val="lt1"/>
                </a:solidFill>
              </a:ln>
              <a:effectLst/>
            </c:spPr>
          </c:dPt>
          <c:dPt>
            <c:idx val="5"/>
            <c:bubble3D val="0"/>
            <c:spPr>
              <a:solidFill>
                <a:schemeClr val="accent6"/>
              </a:solidFill>
              <a:ln w="19050">
                <a:solidFill>
                  <a:schemeClr val="lt1"/>
                </a:solidFill>
              </a:ln>
              <a:effectLst/>
            </c:spPr>
          </c:dPt>
          <c:dPt>
            <c:idx val="6"/>
            <c:bubble3D val="0"/>
            <c:spPr>
              <a:solidFill>
                <a:schemeClr val="accent1">
                  <a:lumMod val="60000"/>
                </a:schemeClr>
              </a:solidFill>
              <a:ln w="19050">
                <a:solidFill>
                  <a:schemeClr val="lt1"/>
                </a:solidFill>
              </a:ln>
              <a:effectLst/>
            </c:spPr>
          </c:dPt>
          <c:dPt>
            <c:idx val="7"/>
            <c:bubble3D val="0"/>
            <c:spPr>
              <a:solidFill>
                <a:schemeClr val="accent2">
                  <a:lumMod val="60000"/>
                </a:schemeClr>
              </a:solidFill>
              <a:ln w="19050">
                <a:solidFill>
                  <a:schemeClr val="lt1"/>
                </a:solidFill>
              </a:ln>
              <a:effectLst/>
            </c:spPr>
          </c:dPt>
          <c:dPt>
            <c:idx val="8"/>
            <c:bubble3D val="0"/>
            <c:spPr>
              <a:solidFill>
                <a:schemeClr val="accent3">
                  <a:lumMod val="60000"/>
                </a:schemeClr>
              </a:solidFill>
              <a:ln w="19050">
                <a:solidFill>
                  <a:schemeClr val="lt1"/>
                </a:solidFill>
              </a:ln>
              <a:effectLst/>
            </c:spPr>
          </c:dPt>
          <c:dPt>
            <c:idx val="9"/>
            <c:bubble3D val="0"/>
            <c:spPr>
              <a:solidFill>
                <a:schemeClr val="accent4">
                  <a:lumMod val="60000"/>
                </a:schemeClr>
              </a:solidFill>
              <a:ln w="19050">
                <a:solidFill>
                  <a:schemeClr val="lt1"/>
                </a:solidFill>
              </a:ln>
              <a:effectLst/>
            </c:spPr>
          </c:dPt>
          <c:dPt>
            <c:idx val="10"/>
            <c:bubble3D val="0"/>
            <c:spPr>
              <a:solidFill>
                <a:schemeClr val="accent5">
                  <a:lumMod val="60000"/>
                </a:schemeClr>
              </a:solidFill>
              <a:ln w="19050">
                <a:solidFill>
                  <a:schemeClr val="lt1"/>
                </a:solidFill>
              </a:ln>
              <a:effectLst/>
            </c:spPr>
          </c:dPt>
          <c:dPt>
            <c:idx val="11"/>
            <c:bubble3D val="0"/>
            <c:spPr>
              <a:solidFill>
                <a:schemeClr val="accent6">
                  <a:lumMod val="60000"/>
                </a:schemeClr>
              </a:solidFill>
              <a:ln w="19050">
                <a:solidFill>
                  <a:schemeClr val="lt1"/>
                </a:solidFill>
              </a:ln>
              <a:effectLst/>
            </c:spPr>
          </c:dPt>
          <c:cat>
            <c:multiLvlStrRef>
              <c:f>Sheet1!$V$192:$V$208</c:f>
              <c:multiLvlStrCache>
                <c:ptCount val="12"/>
                <c:lvl>
                  <c:pt idx="0">
                    <c:v>Female</c:v>
                  </c:pt>
                  <c:pt idx="1">
                    <c:v>Male</c:v>
                  </c:pt>
                  <c:pt idx="2">
                    <c:v>Other</c:v>
                  </c:pt>
                  <c:pt idx="3">
                    <c:v>Female</c:v>
                  </c:pt>
                  <c:pt idx="4">
                    <c:v>Male</c:v>
                  </c:pt>
                  <c:pt idx="5">
                    <c:v>Other</c:v>
                  </c:pt>
                  <c:pt idx="6">
                    <c:v>Female</c:v>
                  </c:pt>
                  <c:pt idx="7">
                    <c:v>Male</c:v>
                  </c:pt>
                  <c:pt idx="8">
                    <c:v>Other</c:v>
                  </c:pt>
                  <c:pt idx="9">
                    <c:v>Female</c:v>
                  </c:pt>
                  <c:pt idx="10">
                    <c:v>Male</c:v>
                  </c:pt>
                  <c:pt idx="11">
                    <c:v>Other</c:v>
                  </c:pt>
                </c:lvl>
                <c:lvl>
                  <c:pt idx="0">
                    <c:v>East</c:v>
                  </c:pt>
                  <c:pt idx="3">
                    <c:v>North</c:v>
                  </c:pt>
                  <c:pt idx="6">
                    <c:v>South</c:v>
                  </c:pt>
                  <c:pt idx="9">
                    <c:v>West</c:v>
                  </c:pt>
                </c:lvl>
              </c:multiLvlStrCache>
            </c:multiLvlStrRef>
          </c:cat>
          <c:val>
            <c:numRef>
              <c:f>Sheet1!$AB$192:$AB$208</c:f>
              <c:numCache>
                <c:formatCode>0.00</c:formatCode>
                <c:ptCount val="12"/>
                <c:pt idx="2">
                  <c:v>5200</c:v>
                </c:pt>
                <c:pt idx="3">
                  <c:v>8800</c:v>
                </c:pt>
                <c:pt idx="5">
                  <c:v>12500</c:v>
                </c:pt>
                <c:pt idx="7">
                  <c:v>4700</c:v>
                </c:pt>
                <c:pt idx="8">
                  <c:v>3800</c:v>
                </c:pt>
                <c:pt idx="9">
                  <c:v>5600</c:v>
                </c:pt>
                <c:pt idx="10">
                  <c:v>7000</c:v>
                </c:pt>
                <c:pt idx="11">
                  <c:v>3700</c:v>
                </c:pt>
              </c:numCache>
            </c:numRef>
          </c:val>
          <c:extLst>
            <c:ext xmlns:c16="http://schemas.microsoft.com/office/drawing/2014/chart" uri="{C3380CC4-5D6E-409C-BE32-E72D297353CC}">
              <c16:uniqueId val="{00000005-05B6-4754-AE73-FE97249674D8}"/>
            </c:ext>
          </c:extLst>
        </c:ser>
        <c:ser>
          <c:idx val="6"/>
          <c:order val="6"/>
          <c:tx>
            <c:strRef>
              <c:f>Sheet1!$AC$190:$AC$191</c:f>
              <c:strCache>
                <c:ptCount val="1"/>
                <c:pt idx="0">
                  <c:v>Toys</c:v>
                </c:pt>
              </c:strCache>
            </c:strRef>
          </c:tx>
          <c:dPt>
            <c:idx val="0"/>
            <c:bubble3D val="0"/>
            <c:spPr>
              <a:solidFill>
                <a:schemeClr val="accent1"/>
              </a:solidFill>
              <a:ln w="19050">
                <a:solidFill>
                  <a:schemeClr val="lt1"/>
                </a:solidFill>
              </a:ln>
              <a:effectLst/>
            </c:spPr>
          </c:dPt>
          <c:dPt>
            <c:idx val="1"/>
            <c:bubble3D val="0"/>
            <c:spPr>
              <a:solidFill>
                <a:schemeClr val="accent2"/>
              </a:solidFill>
              <a:ln w="19050">
                <a:solidFill>
                  <a:schemeClr val="lt1"/>
                </a:solidFill>
              </a:ln>
              <a:effectLst/>
            </c:spPr>
          </c:dPt>
          <c:dPt>
            <c:idx val="2"/>
            <c:bubble3D val="0"/>
            <c:spPr>
              <a:solidFill>
                <a:schemeClr val="accent3"/>
              </a:solidFill>
              <a:ln w="19050">
                <a:solidFill>
                  <a:schemeClr val="lt1"/>
                </a:solidFill>
              </a:ln>
              <a:effectLst/>
            </c:spPr>
          </c:dPt>
          <c:dPt>
            <c:idx val="3"/>
            <c:bubble3D val="0"/>
            <c:spPr>
              <a:solidFill>
                <a:schemeClr val="accent4"/>
              </a:solidFill>
              <a:ln w="19050">
                <a:solidFill>
                  <a:schemeClr val="lt1"/>
                </a:solidFill>
              </a:ln>
              <a:effectLst/>
            </c:spPr>
          </c:dPt>
          <c:dPt>
            <c:idx val="4"/>
            <c:bubble3D val="0"/>
            <c:spPr>
              <a:solidFill>
                <a:schemeClr val="accent5"/>
              </a:solidFill>
              <a:ln w="19050">
                <a:solidFill>
                  <a:schemeClr val="lt1"/>
                </a:solidFill>
              </a:ln>
              <a:effectLst/>
            </c:spPr>
          </c:dPt>
          <c:dPt>
            <c:idx val="5"/>
            <c:bubble3D val="0"/>
            <c:spPr>
              <a:solidFill>
                <a:schemeClr val="accent6"/>
              </a:solidFill>
              <a:ln w="19050">
                <a:solidFill>
                  <a:schemeClr val="lt1"/>
                </a:solidFill>
              </a:ln>
              <a:effectLst/>
            </c:spPr>
          </c:dPt>
          <c:dPt>
            <c:idx val="6"/>
            <c:bubble3D val="0"/>
            <c:spPr>
              <a:solidFill>
                <a:schemeClr val="accent1">
                  <a:lumMod val="60000"/>
                </a:schemeClr>
              </a:solidFill>
              <a:ln w="19050">
                <a:solidFill>
                  <a:schemeClr val="lt1"/>
                </a:solidFill>
              </a:ln>
              <a:effectLst/>
            </c:spPr>
          </c:dPt>
          <c:dPt>
            <c:idx val="7"/>
            <c:bubble3D val="0"/>
            <c:spPr>
              <a:solidFill>
                <a:schemeClr val="accent2">
                  <a:lumMod val="60000"/>
                </a:schemeClr>
              </a:solidFill>
              <a:ln w="19050">
                <a:solidFill>
                  <a:schemeClr val="lt1"/>
                </a:solidFill>
              </a:ln>
              <a:effectLst/>
            </c:spPr>
          </c:dPt>
          <c:dPt>
            <c:idx val="8"/>
            <c:bubble3D val="0"/>
            <c:spPr>
              <a:solidFill>
                <a:schemeClr val="accent3">
                  <a:lumMod val="60000"/>
                </a:schemeClr>
              </a:solidFill>
              <a:ln w="19050">
                <a:solidFill>
                  <a:schemeClr val="lt1"/>
                </a:solidFill>
              </a:ln>
              <a:effectLst/>
            </c:spPr>
          </c:dPt>
          <c:dPt>
            <c:idx val="9"/>
            <c:bubble3D val="0"/>
            <c:spPr>
              <a:solidFill>
                <a:schemeClr val="accent4">
                  <a:lumMod val="60000"/>
                </a:schemeClr>
              </a:solidFill>
              <a:ln w="19050">
                <a:solidFill>
                  <a:schemeClr val="lt1"/>
                </a:solidFill>
              </a:ln>
              <a:effectLst/>
            </c:spPr>
          </c:dPt>
          <c:dPt>
            <c:idx val="10"/>
            <c:bubble3D val="0"/>
            <c:spPr>
              <a:solidFill>
                <a:schemeClr val="accent5">
                  <a:lumMod val="60000"/>
                </a:schemeClr>
              </a:solidFill>
              <a:ln w="19050">
                <a:solidFill>
                  <a:schemeClr val="lt1"/>
                </a:solidFill>
              </a:ln>
              <a:effectLst/>
            </c:spPr>
          </c:dPt>
          <c:dPt>
            <c:idx val="11"/>
            <c:bubble3D val="0"/>
            <c:spPr>
              <a:solidFill>
                <a:schemeClr val="accent6">
                  <a:lumMod val="60000"/>
                </a:schemeClr>
              </a:solidFill>
              <a:ln w="19050">
                <a:solidFill>
                  <a:schemeClr val="lt1"/>
                </a:solidFill>
              </a:ln>
              <a:effectLst/>
            </c:spPr>
          </c:dPt>
          <c:cat>
            <c:multiLvlStrRef>
              <c:f>Sheet1!$V$192:$V$208</c:f>
              <c:multiLvlStrCache>
                <c:ptCount val="12"/>
                <c:lvl>
                  <c:pt idx="0">
                    <c:v>Female</c:v>
                  </c:pt>
                  <c:pt idx="1">
                    <c:v>Male</c:v>
                  </c:pt>
                  <c:pt idx="2">
                    <c:v>Other</c:v>
                  </c:pt>
                  <c:pt idx="3">
                    <c:v>Female</c:v>
                  </c:pt>
                  <c:pt idx="4">
                    <c:v>Male</c:v>
                  </c:pt>
                  <c:pt idx="5">
                    <c:v>Other</c:v>
                  </c:pt>
                  <c:pt idx="6">
                    <c:v>Female</c:v>
                  </c:pt>
                  <c:pt idx="7">
                    <c:v>Male</c:v>
                  </c:pt>
                  <c:pt idx="8">
                    <c:v>Other</c:v>
                  </c:pt>
                  <c:pt idx="9">
                    <c:v>Female</c:v>
                  </c:pt>
                  <c:pt idx="10">
                    <c:v>Male</c:v>
                  </c:pt>
                  <c:pt idx="11">
                    <c:v>Other</c:v>
                  </c:pt>
                </c:lvl>
                <c:lvl>
                  <c:pt idx="0">
                    <c:v>East</c:v>
                  </c:pt>
                  <c:pt idx="3">
                    <c:v>North</c:v>
                  </c:pt>
                  <c:pt idx="6">
                    <c:v>South</c:v>
                  </c:pt>
                  <c:pt idx="9">
                    <c:v>West</c:v>
                  </c:pt>
                </c:lvl>
              </c:multiLvlStrCache>
            </c:multiLvlStrRef>
          </c:cat>
          <c:val>
            <c:numRef>
              <c:f>Sheet1!$AC$192:$AC$208</c:f>
              <c:numCache>
                <c:formatCode>0.00</c:formatCode>
                <c:ptCount val="12"/>
                <c:pt idx="0">
                  <c:v>6100</c:v>
                </c:pt>
                <c:pt idx="2">
                  <c:v>8700</c:v>
                </c:pt>
                <c:pt idx="4">
                  <c:v>14000</c:v>
                </c:pt>
                <c:pt idx="6">
                  <c:v>2200</c:v>
                </c:pt>
                <c:pt idx="9">
                  <c:v>3900</c:v>
                </c:pt>
                <c:pt idx="11">
                  <c:v>10900</c:v>
                </c:pt>
              </c:numCache>
            </c:numRef>
          </c:val>
          <c:extLst>
            <c:ext xmlns:c16="http://schemas.microsoft.com/office/drawing/2014/chart" uri="{C3380CC4-5D6E-409C-BE32-E72D297353CC}">
              <c16:uniqueId val="{00000006-05B6-4754-AE73-FE97249674D8}"/>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_xlchart.v1.0</cx:f>
      </cx:strDim>
      <cx:numDim type="val">
        <cx:f>_xlchart.v1.2</cx:f>
      </cx:numDim>
    </cx:data>
  </cx:chartData>
  <cx:chart>
    <cx:title pos="t" align="ctr" overlay="0"/>
    <cx:plotArea>
      <cx:plotAreaRegion>
        <cx:series layoutId="clusteredColumn" uniqueId="{D072C03A-1DC3-4EF7-9F75-E5C62E5FF850}" formatIdx="0">
          <cx:tx>
            <cx:txData>
              <cx:f>_xlchart.v1.1</cx:f>
              <cx:v>CustomerAge</cx:v>
            </cx:txData>
          </cx:tx>
          <cx:dataLabels pos="inBase">
            <cx:visibility seriesName="0" categoryName="0" value="1"/>
            <cx:separator>, </cx:separator>
          </cx:dataLabels>
          <cx:dataId val="0"/>
          <cx:layoutPr>
            <cx:binning intervalClosed="r"/>
          </cx:layoutPr>
        </cx:series>
      </cx:plotAreaRegion>
      <cx:axis id="0" hidden="1">
        <cx:catScaling gapWidth="0"/>
        <cx:majorTickMarks type="out"/>
        <cx:tickLabels/>
      </cx:axis>
      <cx:axis id="1">
        <cx:valScaling/>
        <cx:majorTickMarks type="out"/>
        <cx:tickLabels/>
      </cx:axis>
    </cx:plotArea>
  </cx:chart>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withinLinearReversed" id="21">
  <a:schemeClr val="accent1"/>
</cs:colorStyle>
</file>

<file path=xl/charts/colors3.xml><?xml version="1.0" encoding="utf-8"?>
<cs:colorStyle xmlns:cs="http://schemas.microsoft.com/office/drawing/2012/chartStyle" xmlns:a="http://schemas.openxmlformats.org/drawingml/2006/main" meth="withinLinearReversed" id="21">
  <a:schemeClr val="accent1"/>
</cs:colorStyle>
</file>

<file path=xl/charts/colors4.xml><?xml version="1.0" encoding="utf-8"?>
<cs:colorStyle xmlns:cs="http://schemas.microsoft.com/office/drawing/2012/chartStyle" xmlns:a="http://schemas.openxmlformats.org/drawingml/2006/main" meth="withinLinear" id="14">
  <a:schemeClr val="accent1"/>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withinLinear" id="14">
  <a:schemeClr val="accent1"/>
</cs:colorStyle>
</file>

<file path=xl/charts/colors8.xml><?xml version="1.0" encoding="utf-8"?>
<cs:colorStyle xmlns:cs="http://schemas.microsoft.com/office/drawing/2012/chartStyle" xmlns:a="http://schemas.openxmlformats.org/drawingml/2006/main" meth="withinLinearReversed" id="21">
  <a:schemeClr val="accent1"/>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40">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2">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800" kern="1200" cap="all" spc="120" normalizeH="0" baseline="0"/>
  </cs:categoryAxis>
  <cs:chartArea mods="allowNoFillOverride allowNoLineOverride">
    <cs:lnRef idx="0"/>
    <cs:fillRef idx="0"/>
    <cs:effectRef idx="0"/>
    <cs:fontRef idx="minor">
      <a:schemeClr val="dk1"/>
    </cs:fontRef>
    <cs:spPr>
      <a:solidFill>
        <a:schemeClr val="lt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50000"/>
        <a:lumOff val="50000"/>
      </a:schemeClr>
    </cs:fontRef>
    <cs:defRPr sz="800" b="0" i="0" u="none" strike="noStrike" kern="1200" baseline="0"/>
    <cs:bodyPr rot="-5400000" spcFirstLastPara="1" vertOverflow="clip" horzOverflow="clip" vert="horz" wrap="square" lIns="38100" tIns="19050" rIns="38100" bIns="19050" anchor="ctr" anchorCtr="1">
      <a:spAutoFit/>
    </cs:bodyPr>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22225" cap="rnd">
        <a:solidFill>
          <a:schemeClr val="phClr"/>
        </a:solidFill>
        <a:round/>
      </a:ln>
    </cs:spPr>
  </cs:dataPointLine>
  <cs:dataPointMarker>
    <cs:lnRef idx="0">
      <cs:styleClr val="auto"/>
    </cs:lnRef>
    <cs:fillRef idx="0">
      <cs:styleClr val="auto"/>
    </cs:fillRef>
    <cs:effectRef idx="0"/>
    <cs:fontRef idx="minor">
      <a:schemeClr val="dk1"/>
    </cs:fontRef>
    <cs:spPr>
      <a:solidFill>
        <a:schemeClr val="phClr"/>
      </a:solidFill>
      <a:ln w="9525">
        <a:solidFill>
          <a:schemeClr val="phClr"/>
        </a:solidFill>
        <a:round/>
      </a:ln>
    </cs:spPr>
  </cs:dataPointMarker>
  <cs:dataPointMarkerLayout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15000"/>
            <a:lumOff val="85000"/>
          </a:schemeClr>
        </a:solidFill>
      </a:ln>
    </cs:spPr>
  </cs:downBar>
  <cs:dropLine>
    <cs:lnRef idx="0"/>
    <cs:fillRef idx="0"/>
    <cs:effectRef idx="0"/>
    <cs:fontRef idx="minor">
      <a:schemeClr val="dk1"/>
    </cs:fontRef>
    <cs:spPr>
      <a:ln w="9525">
        <a:solidFill>
          <a:schemeClr val="tx1">
            <a:lumMod val="35000"/>
            <a:lumOff val="65000"/>
          </a:schemeClr>
        </a:solidFill>
      </a:ln>
    </cs:spPr>
  </cs:dropLine>
  <cs:errorBar>
    <cs:lnRef idx="0"/>
    <cs:fillRef idx="0"/>
    <cs:effectRef idx="0"/>
    <cs:fontRef idx="minor">
      <a:schemeClr val="dk1"/>
    </cs:fontRef>
    <cs:spPr>
      <a:ln w="9525">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50000"/>
            <a:lumOff val="50000"/>
          </a:schemeClr>
        </a:solidFill>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cap="all" spc="120" normalizeH="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8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spPr>
      <a:ln w="9525" cap="flat" cmpd="sng" algn="ctr">
        <a:solidFill>
          <a:schemeClr val="dk1">
            <a:lumMod val="15000"/>
            <a:lumOff val="85000"/>
          </a:schemeClr>
        </a:solidFill>
        <a:round/>
      </a:ln>
    </cs:spPr>
    <cs:defRPr sz="900" kern="1200"/>
  </cs:valueAxis>
  <cs:wall>
    <cs:lnRef idx="0"/>
    <cs:fillRef idx="0"/>
    <cs:effectRef idx="0"/>
    <cs:fontRef idx="minor">
      <a:schemeClr val="dk1"/>
    </cs:fontRef>
  </cs:wall>
</cs:chartStyle>
</file>

<file path=xl/charts/style6.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7.xml><?xml version="1.0" encoding="utf-8"?>
<cs:chartStyle xmlns:cs="http://schemas.microsoft.com/office/drawing/2012/chartStyle" xmlns:a="http://schemas.openxmlformats.org/drawingml/2006/main" id="366">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3" Type="http://schemas.openxmlformats.org/officeDocument/2006/relationships/chart" Target="../charts/chart5.xml"/><Relationship Id="rId2" Type="http://schemas.openxmlformats.org/officeDocument/2006/relationships/chart" Target="../charts/chart4.xml"/><Relationship Id="rId1" Type="http://schemas.openxmlformats.org/officeDocument/2006/relationships/chart" Target="../charts/chart3.xml"/></Relationships>
</file>

<file path=xl/drawings/_rels/drawing4.xml.rels><?xml version="1.0" encoding="UTF-8" standalone="yes"?>
<Relationships xmlns="http://schemas.openxmlformats.org/package/2006/relationships"><Relationship Id="rId3" Type="http://schemas.microsoft.com/office/2014/relationships/chartEx" Target="../charts/chartEx1.xml"/><Relationship Id="rId7" Type="http://schemas.openxmlformats.org/officeDocument/2006/relationships/chart" Target="../charts/chart11.xml"/><Relationship Id="rId2" Type="http://schemas.openxmlformats.org/officeDocument/2006/relationships/chart" Target="../charts/chart7.xml"/><Relationship Id="rId1" Type="http://schemas.openxmlformats.org/officeDocument/2006/relationships/chart" Target="../charts/chart6.xml"/><Relationship Id="rId6" Type="http://schemas.openxmlformats.org/officeDocument/2006/relationships/chart" Target="../charts/chart10.xml"/><Relationship Id="rId5" Type="http://schemas.openxmlformats.org/officeDocument/2006/relationships/chart" Target="../charts/chart9.xml"/><Relationship Id="rId4" Type="http://schemas.openxmlformats.org/officeDocument/2006/relationships/chart" Target="../charts/chart8.xml"/></Relationships>
</file>

<file path=xl/drawings/drawing1.xml><?xml version="1.0" encoding="utf-8"?>
<xdr:wsDr xmlns:xdr="http://schemas.openxmlformats.org/drawingml/2006/spreadsheetDrawing" xmlns:a="http://schemas.openxmlformats.org/drawingml/2006/main">
  <xdr:twoCellAnchor>
    <xdr:from>
      <xdr:col>0</xdr:col>
      <xdr:colOff>0</xdr:colOff>
      <xdr:row>11</xdr:row>
      <xdr:rowOff>50416</xdr:rowOff>
    </xdr:from>
    <xdr:to>
      <xdr:col>6</xdr:col>
      <xdr:colOff>304800</xdr:colOff>
      <xdr:row>25</xdr:row>
      <xdr:rowOff>126616</xdr:rowOff>
    </xdr:to>
    <xdr:graphicFrame macro="">
      <xdr:nvGraphicFramePr>
        <xdr:cNvPr id="2" name="Chart 1">
          <a:extLst>
            <a:ext uri="{FF2B5EF4-FFF2-40B4-BE49-F238E27FC236}">
              <a16:creationId xmlns:a16="http://schemas.microsoft.com/office/drawing/2014/main" id="{17865050-9498-399D-3770-DD78E8588DF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2</xdr:col>
      <xdr:colOff>51567</xdr:colOff>
      <xdr:row>2</xdr:row>
      <xdr:rowOff>26934</xdr:rowOff>
    </xdr:from>
    <xdr:to>
      <xdr:col>3</xdr:col>
      <xdr:colOff>492672</xdr:colOff>
      <xdr:row>8</xdr:row>
      <xdr:rowOff>151086</xdr:rowOff>
    </xdr:to>
    <mc:AlternateContent xmlns:mc="http://schemas.openxmlformats.org/markup-compatibility/2006" xmlns:a14="http://schemas.microsoft.com/office/drawing/2010/main">
      <mc:Choice Requires="a14">
        <xdr:graphicFrame macro="">
          <xdr:nvGraphicFramePr>
            <xdr:cNvPr id="4" name="ProductCategory">
              <a:extLst>
                <a:ext uri="{FF2B5EF4-FFF2-40B4-BE49-F238E27FC236}">
                  <a16:creationId xmlns:a16="http://schemas.microsoft.com/office/drawing/2014/main" id="{B815D2C7-E326-351F-2CDC-7201DD435E62}"/>
                </a:ext>
              </a:extLst>
            </xdr:cNvPr>
            <xdr:cNvGraphicFramePr/>
          </xdr:nvGraphicFramePr>
          <xdr:xfrm>
            <a:off x="0" y="0"/>
            <a:ext cx="0" cy="0"/>
          </xdr:xfrm>
          <a:graphic>
            <a:graphicData uri="http://schemas.microsoft.com/office/drawing/2010/slicer">
              <sle:slicer xmlns:sle="http://schemas.microsoft.com/office/drawing/2010/slicer" name="ProductCategory"/>
            </a:graphicData>
          </a:graphic>
        </xdr:graphicFrame>
      </mc:Choice>
      <mc:Fallback xmlns="">
        <xdr:sp macro="" textlink="">
          <xdr:nvSpPr>
            <xdr:cNvPr id="0" name=""/>
            <xdr:cNvSpPr>
              <a:spLocks noTextEdit="1"/>
            </xdr:cNvSpPr>
          </xdr:nvSpPr>
          <xdr:spPr>
            <a:xfrm>
              <a:off x="2114222" y="407934"/>
              <a:ext cx="1472433" cy="1267152"/>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3</xdr:col>
      <xdr:colOff>505809</xdr:colOff>
      <xdr:row>2</xdr:row>
      <xdr:rowOff>59121</xdr:rowOff>
    </xdr:from>
    <xdr:to>
      <xdr:col>5</xdr:col>
      <xdr:colOff>576425</xdr:colOff>
      <xdr:row>8</xdr:row>
      <xdr:rowOff>151086</xdr:rowOff>
    </xdr:to>
    <mc:AlternateContent xmlns:mc="http://schemas.openxmlformats.org/markup-compatibility/2006" xmlns:a14="http://schemas.microsoft.com/office/drawing/2010/main">
      <mc:Choice Requires="a14">
        <xdr:graphicFrame macro="">
          <xdr:nvGraphicFramePr>
            <xdr:cNvPr id="5" name="Quantity">
              <a:extLst>
                <a:ext uri="{FF2B5EF4-FFF2-40B4-BE49-F238E27FC236}">
                  <a16:creationId xmlns:a16="http://schemas.microsoft.com/office/drawing/2014/main" id="{D1AF3BF1-0A13-F80B-6D88-5AD77CFE9819}"/>
                </a:ext>
              </a:extLst>
            </xdr:cNvPr>
            <xdr:cNvGraphicFramePr/>
          </xdr:nvGraphicFramePr>
          <xdr:xfrm>
            <a:off x="0" y="0"/>
            <a:ext cx="0" cy="0"/>
          </xdr:xfrm>
          <a:graphic>
            <a:graphicData uri="http://schemas.microsoft.com/office/drawing/2010/slicer">
              <sle:slicer xmlns:sle="http://schemas.microsoft.com/office/drawing/2010/slicer" name="Quantity"/>
            </a:graphicData>
          </a:graphic>
        </xdr:graphicFrame>
      </mc:Choice>
      <mc:Fallback xmlns="">
        <xdr:sp macro="" textlink="">
          <xdr:nvSpPr>
            <xdr:cNvPr id="0" name=""/>
            <xdr:cNvSpPr>
              <a:spLocks noTextEdit="1"/>
            </xdr:cNvSpPr>
          </xdr:nvSpPr>
          <xdr:spPr>
            <a:xfrm>
              <a:off x="3599792" y="440121"/>
              <a:ext cx="1292443" cy="123496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9</xdr:col>
      <xdr:colOff>238125</xdr:colOff>
      <xdr:row>0</xdr:row>
      <xdr:rowOff>180975</xdr:rowOff>
    </xdr:from>
    <xdr:to>
      <xdr:col>15</xdr:col>
      <xdr:colOff>238125</xdr:colOff>
      <xdr:row>10</xdr:row>
      <xdr:rowOff>180975</xdr:rowOff>
    </xdr:to>
    <xdr:graphicFrame macro="">
      <xdr:nvGraphicFramePr>
        <xdr:cNvPr id="2" name="Chart 1">
          <a:extLst>
            <a:ext uri="{FF2B5EF4-FFF2-40B4-BE49-F238E27FC236}">
              <a16:creationId xmlns:a16="http://schemas.microsoft.com/office/drawing/2014/main" id="{559B0A69-D44C-F1C8-F8FC-D41421BEBBB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9</xdr:col>
      <xdr:colOff>537229</xdr:colOff>
      <xdr:row>0</xdr:row>
      <xdr:rowOff>130239</xdr:rowOff>
    </xdr:from>
    <xdr:to>
      <xdr:col>13</xdr:col>
      <xdr:colOff>315311</xdr:colOff>
      <xdr:row>4</xdr:row>
      <xdr:rowOff>78828</xdr:rowOff>
    </xdr:to>
    <xdr:sp macro="" textlink="">
      <xdr:nvSpPr>
        <xdr:cNvPr id="17" name="Rectangle: Rounded Corners 16">
          <a:extLst>
            <a:ext uri="{FF2B5EF4-FFF2-40B4-BE49-F238E27FC236}">
              <a16:creationId xmlns:a16="http://schemas.microsoft.com/office/drawing/2014/main" id="{7DBBEAC3-895D-850A-050C-727095FF3BA5}"/>
            </a:ext>
          </a:extLst>
        </xdr:cNvPr>
        <xdr:cNvSpPr/>
      </xdr:nvSpPr>
      <xdr:spPr>
        <a:xfrm>
          <a:off x="6035453" y="130239"/>
          <a:ext cx="2221737" cy="710589"/>
        </a:xfrm>
        <a:prstGeom prst="roundRect">
          <a:avLst/>
        </a:prstGeom>
        <a:solidFill>
          <a:schemeClr val="bg1"/>
        </a:solidFill>
        <a:effectLst>
          <a:outerShdw blurRad="63500" dist="12700" dir="6000000" algn="ctr" rotWithShape="0">
            <a:srgbClr val="000000">
              <a:alpha val="99000"/>
            </a:srgb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ctr"/>
          <a:r>
            <a:rPr lang="en-IN" sz="1000">
              <a:solidFill>
                <a:sysClr val="windowText" lastClr="000000"/>
              </a:solidFill>
              <a:latin typeface="Arial Black" panose="020B0A04020102020204" pitchFamily="34" charset="0"/>
              <a:ea typeface="+mn-ea"/>
              <a:cs typeface="+mn-cs"/>
            </a:rPr>
            <a:t>TOTAL NUMBER OF</a:t>
          </a:r>
          <a:r>
            <a:rPr lang="en-IN" sz="1000" baseline="0">
              <a:solidFill>
                <a:sysClr val="windowText" lastClr="000000"/>
              </a:solidFill>
              <a:latin typeface="Arial Black" panose="020B0A04020102020204" pitchFamily="34" charset="0"/>
              <a:ea typeface="+mn-ea"/>
              <a:cs typeface="+mn-cs"/>
            </a:rPr>
            <a:t> SALES</a:t>
          </a:r>
        </a:p>
        <a:p>
          <a:pPr marL="0" indent="0" algn="ctr"/>
          <a:r>
            <a:rPr lang="en-IN" sz="1000" baseline="0">
              <a:solidFill>
                <a:sysClr val="windowText" lastClr="000000"/>
              </a:solidFill>
              <a:latin typeface="Arial Black" panose="020B0A04020102020204" pitchFamily="34" charset="0"/>
              <a:ea typeface="+mn-ea"/>
              <a:cs typeface="+mn-cs"/>
            </a:rPr>
            <a:t>₹24,88,008</a:t>
          </a:r>
          <a:endParaRPr lang="en-IN" sz="1000">
            <a:solidFill>
              <a:sysClr val="windowText" lastClr="000000"/>
            </a:solidFill>
            <a:latin typeface="Arial Black" panose="020B0A04020102020204" pitchFamily="34" charset="0"/>
            <a:ea typeface="+mn-ea"/>
            <a:cs typeface="+mn-cs"/>
          </a:endParaRPr>
        </a:p>
      </xdr:txBody>
    </xdr:sp>
    <xdr:clientData/>
  </xdr:twoCellAnchor>
  <xdr:twoCellAnchor>
    <xdr:from>
      <xdr:col>14</xdr:col>
      <xdr:colOff>298170</xdr:colOff>
      <xdr:row>5</xdr:row>
      <xdr:rowOff>57974</xdr:rowOff>
    </xdr:from>
    <xdr:to>
      <xdr:col>21</xdr:col>
      <xdr:colOff>476249</xdr:colOff>
      <xdr:row>17</xdr:row>
      <xdr:rowOff>87924</xdr:rowOff>
    </xdr:to>
    <xdr:sp macro="" textlink="">
      <xdr:nvSpPr>
        <xdr:cNvPr id="15" name="Rectangle: Rounded Corners 14">
          <a:extLst>
            <a:ext uri="{FF2B5EF4-FFF2-40B4-BE49-F238E27FC236}">
              <a16:creationId xmlns:a16="http://schemas.microsoft.com/office/drawing/2014/main" id="{E1ED858B-59E5-14E2-73F8-3ADAECA91DCA}"/>
            </a:ext>
          </a:extLst>
        </xdr:cNvPr>
        <xdr:cNvSpPr/>
      </xdr:nvSpPr>
      <xdr:spPr>
        <a:xfrm>
          <a:off x="8812055" y="1010474"/>
          <a:ext cx="4435021" cy="2315950"/>
        </a:xfrm>
        <a:prstGeom prst="roundRect">
          <a:avLst/>
        </a:prstGeom>
        <a:solidFill>
          <a:schemeClr val="bg1"/>
        </a:solidFill>
        <a:effectLst>
          <a:outerShdw blurRad="63500" dist="12700" dir="6000000" algn="ctr" rotWithShape="0">
            <a:srgbClr val="000000">
              <a:alpha val="99000"/>
            </a:srgb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IN" sz="1100">
            <a:solidFill>
              <a:schemeClr val="lt1"/>
            </a:solidFill>
            <a:latin typeface="+mn-lt"/>
            <a:ea typeface="+mn-ea"/>
            <a:cs typeface="+mn-cs"/>
          </a:endParaRPr>
        </a:p>
      </xdr:txBody>
    </xdr:sp>
    <xdr:clientData/>
  </xdr:twoCellAnchor>
  <xdr:twoCellAnchor>
    <xdr:from>
      <xdr:col>0</xdr:col>
      <xdr:colOff>91108</xdr:colOff>
      <xdr:row>4</xdr:row>
      <xdr:rowOff>190498</xdr:rowOff>
    </xdr:from>
    <xdr:to>
      <xdr:col>7</xdr:col>
      <xdr:colOff>82827</xdr:colOff>
      <xdr:row>17</xdr:row>
      <xdr:rowOff>165652</xdr:rowOff>
    </xdr:to>
    <xdr:sp macro="" textlink="">
      <xdr:nvSpPr>
        <xdr:cNvPr id="3" name="Rectangle: Rounded Corners 2">
          <a:extLst>
            <a:ext uri="{FF2B5EF4-FFF2-40B4-BE49-F238E27FC236}">
              <a16:creationId xmlns:a16="http://schemas.microsoft.com/office/drawing/2014/main" id="{BAC17B50-7197-9246-4294-603439553816}"/>
            </a:ext>
          </a:extLst>
        </xdr:cNvPr>
        <xdr:cNvSpPr/>
      </xdr:nvSpPr>
      <xdr:spPr>
        <a:xfrm>
          <a:off x="91108" y="952498"/>
          <a:ext cx="4258919" cy="2451654"/>
        </a:xfrm>
        <a:prstGeom prst="roundRect">
          <a:avLst/>
        </a:prstGeom>
        <a:solidFill>
          <a:schemeClr val="bg1"/>
        </a:solidFill>
        <a:effectLst>
          <a:outerShdw blurRad="63500" dist="12700" dir="6000000" algn="ctr" rotWithShape="0">
            <a:srgbClr val="000000">
              <a:alpha val="99000"/>
            </a:srgb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IN" sz="1100">
            <a:solidFill>
              <a:schemeClr val="lt1"/>
            </a:solidFill>
            <a:latin typeface="+mn-lt"/>
            <a:ea typeface="+mn-ea"/>
            <a:cs typeface="+mn-cs"/>
          </a:endParaRPr>
        </a:p>
      </xdr:txBody>
    </xdr:sp>
    <xdr:clientData/>
  </xdr:twoCellAnchor>
  <xdr:twoCellAnchor>
    <xdr:from>
      <xdr:col>0</xdr:col>
      <xdr:colOff>57979</xdr:colOff>
      <xdr:row>0</xdr:row>
      <xdr:rowOff>132522</xdr:rowOff>
    </xdr:from>
    <xdr:to>
      <xdr:col>9</xdr:col>
      <xdr:colOff>381000</xdr:colOff>
      <xdr:row>4</xdr:row>
      <xdr:rowOff>82825</xdr:rowOff>
    </xdr:to>
    <xdr:sp macro="" textlink="">
      <xdr:nvSpPr>
        <xdr:cNvPr id="4" name="Rectangle: Rounded Corners 3">
          <a:extLst>
            <a:ext uri="{FF2B5EF4-FFF2-40B4-BE49-F238E27FC236}">
              <a16:creationId xmlns:a16="http://schemas.microsoft.com/office/drawing/2014/main" id="{63559EEC-11A0-35F0-999A-33952EB8449D}"/>
            </a:ext>
          </a:extLst>
        </xdr:cNvPr>
        <xdr:cNvSpPr/>
      </xdr:nvSpPr>
      <xdr:spPr>
        <a:xfrm>
          <a:off x="57979" y="132522"/>
          <a:ext cx="5839238" cy="712303"/>
        </a:xfrm>
        <a:prstGeom prst="roundRect">
          <a:avLst/>
        </a:prstGeom>
        <a:solidFill>
          <a:schemeClr val="bg1"/>
        </a:solidFill>
        <a:effectLst>
          <a:outerShdw blurRad="63500" dist="12700" dir="6000000" algn="ctr" rotWithShape="0">
            <a:schemeClr val="tx2">
              <a:alpha val="99000"/>
            </a:scheme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ctr"/>
          <a:r>
            <a:rPr lang="en-IN" sz="2000">
              <a:solidFill>
                <a:sysClr val="windowText" lastClr="000000"/>
              </a:solidFill>
              <a:latin typeface="Arial Black" panose="020B0A04020102020204" pitchFamily="34" charset="0"/>
              <a:ea typeface="+mn-ea"/>
              <a:cs typeface="+mn-cs"/>
            </a:rPr>
            <a:t>SALES</a:t>
          </a:r>
          <a:r>
            <a:rPr lang="en-IN" sz="2000" baseline="0">
              <a:solidFill>
                <a:sysClr val="windowText" lastClr="000000"/>
              </a:solidFill>
              <a:latin typeface="Arial Black" panose="020B0A04020102020204" pitchFamily="34" charset="0"/>
              <a:ea typeface="+mn-ea"/>
              <a:cs typeface="+mn-cs"/>
            </a:rPr>
            <a:t> DASHBOARD</a:t>
          </a:r>
          <a:endParaRPr lang="en-IN" sz="2000">
            <a:solidFill>
              <a:sysClr val="windowText" lastClr="000000"/>
            </a:solidFill>
            <a:latin typeface="Arial Black" panose="020B0A04020102020204" pitchFamily="34" charset="0"/>
            <a:ea typeface="+mn-ea"/>
            <a:cs typeface="+mn-cs"/>
          </a:endParaRPr>
        </a:p>
      </xdr:txBody>
    </xdr:sp>
    <xdr:clientData/>
  </xdr:twoCellAnchor>
  <xdr:twoCellAnchor>
    <xdr:from>
      <xdr:col>0</xdr:col>
      <xdr:colOff>149087</xdr:colOff>
      <xdr:row>6</xdr:row>
      <xdr:rowOff>41415</xdr:rowOff>
    </xdr:from>
    <xdr:to>
      <xdr:col>7</xdr:col>
      <xdr:colOff>16564</xdr:colOff>
      <xdr:row>16</xdr:row>
      <xdr:rowOff>91109</xdr:rowOff>
    </xdr:to>
    <xdr:graphicFrame macro="">
      <xdr:nvGraphicFramePr>
        <xdr:cNvPr id="7" name="Chart 6">
          <a:extLst>
            <a:ext uri="{FF2B5EF4-FFF2-40B4-BE49-F238E27FC236}">
              <a16:creationId xmlns:a16="http://schemas.microsoft.com/office/drawing/2014/main" id="{B4F578D8-F711-48FD-890E-2035B5B1344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7</xdr:col>
      <xdr:colOff>190499</xdr:colOff>
      <xdr:row>5</xdr:row>
      <xdr:rowOff>16560</xdr:rowOff>
    </xdr:from>
    <xdr:to>
      <xdr:col>14</xdr:col>
      <xdr:colOff>198781</xdr:colOff>
      <xdr:row>17</xdr:row>
      <xdr:rowOff>157368</xdr:rowOff>
    </xdr:to>
    <xdr:sp macro="" textlink="">
      <xdr:nvSpPr>
        <xdr:cNvPr id="8" name="Rectangle: Rounded Corners 7">
          <a:extLst>
            <a:ext uri="{FF2B5EF4-FFF2-40B4-BE49-F238E27FC236}">
              <a16:creationId xmlns:a16="http://schemas.microsoft.com/office/drawing/2014/main" id="{5462AB57-7BF8-7257-4B26-A1F73D664339}"/>
            </a:ext>
          </a:extLst>
        </xdr:cNvPr>
        <xdr:cNvSpPr/>
      </xdr:nvSpPr>
      <xdr:spPr>
        <a:xfrm>
          <a:off x="4480890" y="969060"/>
          <a:ext cx="4298674" cy="2426808"/>
        </a:xfrm>
        <a:prstGeom prst="roundRect">
          <a:avLst/>
        </a:prstGeom>
        <a:solidFill>
          <a:schemeClr val="bg1"/>
        </a:solidFill>
        <a:effectLst>
          <a:outerShdw blurRad="63500" dist="12700" dir="6000000" algn="ctr" rotWithShape="0">
            <a:srgbClr val="000000">
              <a:alpha val="99000"/>
            </a:srgb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7</xdr:col>
      <xdr:colOff>372718</xdr:colOff>
      <xdr:row>5</xdr:row>
      <xdr:rowOff>140804</xdr:rowOff>
    </xdr:from>
    <xdr:to>
      <xdr:col>14</xdr:col>
      <xdr:colOff>8282</xdr:colOff>
      <xdr:row>17</xdr:row>
      <xdr:rowOff>24847</xdr:rowOff>
    </xdr:to>
    <xdr:graphicFrame macro="">
      <xdr:nvGraphicFramePr>
        <xdr:cNvPr id="13" name="Chart 12">
          <a:extLst>
            <a:ext uri="{FF2B5EF4-FFF2-40B4-BE49-F238E27FC236}">
              <a16:creationId xmlns:a16="http://schemas.microsoft.com/office/drawing/2014/main" id="{0E10B3EA-CC48-4468-A681-0053A4159AF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14</xdr:col>
      <xdr:colOff>414132</xdr:colOff>
      <xdr:row>5</xdr:row>
      <xdr:rowOff>140804</xdr:rowOff>
    </xdr:from>
    <xdr:to>
      <xdr:col>21</xdr:col>
      <xdr:colOff>49697</xdr:colOff>
      <xdr:row>17</xdr:row>
      <xdr:rowOff>16565</xdr:rowOff>
    </xdr:to>
    <xdr:graphicFrame macro="">
      <xdr:nvGraphicFramePr>
        <xdr:cNvPr id="14" name="Chart 13">
          <a:extLst>
            <a:ext uri="{FF2B5EF4-FFF2-40B4-BE49-F238E27FC236}">
              <a16:creationId xmlns:a16="http://schemas.microsoft.com/office/drawing/2014/main" id="{8763EA42-A997-4471-B695-728F932B27F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13</xdr:col>
      <xdr:colOff>379858</xdr:colOff>
      <xdr:row>0</xdr:row>
      <xdr:rowOff>121956</xdr:rowOff>
    </xdr:from>
    <xdr:to>
      <xdr:col>17</xdr:col>
      <xdr:colOff>157941</xdr:colOff>
      <xdr:row>4</xdr:row>
      <xdr:rowOff>70545</xdr:rowOff>
    </xdr:to>
    <xdr:sp macro="" textlink="">
      <xdr:nvSpPr>
        <xdr:cNvPr id="18" name="Rectangle: Rounded Corners 17">
          <a:extLst>
            <a:ext uri="{FF2B5EF4-FFF2-40B4-BE49-F238E27FC236}">
              <a16:creationId xmlns:a16="http://schemas.microsoft.com/office/drawing/2014/main" id="{9A007D56-DBE9-A422-11E4-CB49E24D9114}"/>
            </a:ext>
          </a:extLst>
        </xdr:cNvPr>
        <xdr:cNvSpPr/>
      </xdr:nvSpPr>
      <xdr:spPr>
        <a:xfrm>
          <a:off x="8347728" y="121956"/>
          <a:ext cx="2229735" cy="710589"/>
        </a:xfrm>
        <a:prstGeom prst="roundRect">
          <a:avLst/>
        </a:prstGeom>
        <a:solidFill>
          <a:schemeClr val="bg1"/>
        </a:solidFill>
        <a:effectLst>
          <a:outerShdw blurRad="63500" dist="12700" dir="6000000" algn="ctr" rotWithShape="0">
            <a:srgbClr val="000000">
              <a:alpha val="99000"/>
            </a:srgb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ctr"/>
          <a:r>
            <a:rPr lang="en-IN" sz="1000">
              <a:solidFill>
                <a:sysClr val="windowText" lastClr="000000"/>
              </a:solidFill>
              <a:latin typeface="Arial Black" panose="020B0A04020102020204" pitchFamily="34" charset="0"/>
              <a:ea typeface="+mn-ea"/>
              <a:cs typeface="+mn-cs"/>
            </a:rPr>
            <a:t>HIGHEST PROFIT</a:t>
          </a:r>
          <a:endParaRPr lang="en-IN" sz="1000" baseline="0">
            <a:solidFill>
              <a:sysClr val="windowText" lastClr="000000"/>
            </a:solidFill>
            <a:latin typeface="Arial Black" panose="020B0A04020102020204" pitchFamily="34" charset="0"/>
            <a:ea typeface="+mn-ea"/>
            <a:cs typeface="+mn-cs"/>
          </a:endParaRPr>
        </a:p>
        <a:p>
          <a:pPr marL="0" indent="0" algn="ctr"/>
          <a:r>
            <a:rPr lang="en-IN" sz="1000" baseline="0">
              <a:solidFill>
                <a:sysClr val="windowText" lastClr="000000"/>
              </a:solidFill>
              <a:latin typeface="Arial Black" panose="020B0A04020102020204" pitchFamily="34" charset="0"/>
              <a:ea typeface="+mn-ea"/>
              <a:cs typeface="+mn-cs"/>
            </a:rPr>
            <a:t>₹2800</a:t>
          </a:r>
          <a:endParaRPr lang="en-IN" sz="1000">
            <a:solidFill>
              <a:sysClr val="windowText" lastClr="000000"/>
            </a:solidFill>
            <a:latin typeface="Arial Black" panose="020B0A04020102020204" pitchFamily="34" charset="0"/>
            <a:ea typeface="+mn-ea"/>
            <a:cs typeface="+mn-cs"/>
          </a:endParaRPr>
        </a:p>
      </xdr:txBody>
    </xdr:sp>
    <xdr:clientData/>
  </xdr:twoCellAnchor>
  <xdr:twoCellAnchor>
    <xdr:from>
      <xdr:col>17</xdr:col>
      <xdr:colOff>305315</xdr:colOff>
      <xdr:row>0</xdr:row>
      <xdr:rowOff>130238</xdr:rowOff>
    </xdr:from>
    <xdr:to>
      <xdr:col>21</xdr:col>
      <xdr:colOff>480392</xdr:colOff>
      <xdr:row>4</xdr:row>
      <xdr:rowOff>74543</xdr:rowOff>
    </xdr:to>
    <xdr:sp macro="" textlink="">
      <xdr:nvSpPr>
        <xdr:cNvPr id="19" name="Rectangle: Rounded Corners 18">
          <a:extLst>
            <a:ext uri="{FF2B5EF4-FFF2-40B4-BE49-F238E27FC236}">
              <a16:creationId xmlns:a16="http://schemas.microsoft.com/office/drawing/2014/main" id="{10452524-6451-F35E-DCDB-66BB55C54EE2}"/>
            </a:ext>
          </a:extLst>
        </xdr:cNvPr>
        <xdr:cNvSpPr/>
      </xdr:nvSpPr>
      <xdr:spPr>
        <a:xfrm>
          <a:off x="10724837" y="130238"/>
          <a:ext cx="2626729" cy="706305"/>
        </a:xfrm>
        <a:prstGeom prst="roundRect">
          <a:avLst/>
        </a:prstGeom>
        <a:solidFill>
          <a:schemeClr val="bg1"/>
        </a:solidFill>
        <a:effectLst>
          <a:outerShdw blurRad="63500" dist="12700" dir="6000000" algn="ctr" rotWithShape="0">
            <a:srgbClr val="000000">
              <a:alpha val="99000"/>
            </a:srgb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ctr"/>
          <a:r>
            <a:rPr lang="en-IN" sz="1000">
              <a:solidFill>
                <a:sysClr val="windowText" lastClr="000000"/>
              </a:solidFill>
              <a:latin typeface="Arial Black" panose="020B0A04020102020204" pitchFamily="34" charset="0"/>
              <a:ea typeface="+mn-ea"/>
              <a:cs typeface="+mn-cs"/>
            </a:rPr>
            <a:t>HIGHEST</a:t>
          </a:r>
          <a:r>
            <a:rPr lang="en-IN" sz="1000" baseline="0">
              <a:solidFill>
                <a:sysClr val="windowText" lastClr="000000"/>
              </a:solidFill>
              <a:latin typeface="Arial Black" panose="020B0A04020102020204" pitchFamily="34" charset="0"/>
              <a:ea typeface="+mn-ea"/>
              <a:cs typeface="+mn-cs"/>
            </a:rPr>
            <a:t> DISCOUNT PRODUCT</a:t>
          </a:r>
        </a:p>
        <a:p>
          <a:pPr marL="0" indent="0" algn="ctr"/>
          <a:r>
            <a:rPr lang="en-IN" sz="1000" baseline="0">
              <a:solidFill>
                <a:sysClr val="windowText" lastClr="000000"/>
              </a:solidFill>
              <a:latin typeface="Arial Black" panose="020B0A04020102020204" pitchFamily="34" charset="0"/>
              <a:ea typeface="+mn-ea"/>
              <a:cs typeface="+mn-cs"/>
            </a:rPr>
            <a:t>(28%) ELECTROINCS</a:t>
          </a:r>
        </a:p>
        <a:p>
          <a:pPr marL="0" indent="0" algn="ctr"/>
          <a:endParaRPr lang="en-IN" sz="1000">
            <a:solidFill>
              <a:sysClr val="windowText" lastClr="000000"/>
            </a:solidFill>
            <a:latin typeface="Arial Black" panose="020B0A04020102020204" pitchFamily="34" charset="0"/>
            <a:ea typeface="+mn-ea"/>
            <a:cs typeface="+mn-cs"/>
          </a:endParaRPr>
        </a:p>
      </xdr:txBody>
    </xdr:sp>
    <xdr:clientData/>
  </xdr:twoCellAnchor>
  <xdr:twoCellAnchor>
    <xdr:from>
      <xdr:col>0</xdr:col>
      <xdr:colOff>72058</xdr:colOff>
      <xdr:row>18</xdr:row>
      <xdr:rowOff>66673</xdr:rowOff>
    </xdr:from>
    <xdr:to>
      <xdr:col>7</xdr:col>
      <xdr:colOff>257175</xdr:colOff>
      <xdr:row>31</xdr:row>
      <xdr:rowOff>104775</xdr:rowOff>
    </xdr:to>
    <xdr:sp macro="" textlink="">
      <xdr:nvSpPr>
        <xdr:cNvPr id="23" name="Rectangle: Rounded Corners 22">
          <a:extLst>
            <a:ext uri="{FF2B5EF4-FFF2-40B4-BE49-F238E27FC236}">
              <a16:creationId xmlns:a16="http://schemas.microsoft.com/office/drawing/2014/main" id="{DDD19DD5-5843-C57A-94F0-677A05D1F450}"/>
            </a:ext>
          </a:extLst>
        </xdr:cNvPr>
        <xdr:cNvSpPr/>
      </xdr:nvSpPr>
      <xdr:spPr>
        <a:xfrm>
          <a:off x="72058" y="3495673"/>
          <a:ext cx="4452317" cy="2514602"/>
        </a:xfrm>
        <a:prstGeom prst="roundRect">
          <a:avLst/>
        </a:prstGeom>
        <a:solidFill>
          <a:schemeClr val="bg1"/>
        </a:solidFill>
        <a:effectLst>
          <a:outerShdw blurRad="63500" dist="12700" dir="6000000" algn="ctr" rotWithShape="0">
            <a:srgbClr val="000000">
              <a:alpha val="99000"/>
            </a:srgb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IN" sz="1100">
            <a:solidFill>
              <a:schemeClr val="lt1"/>
            </a:solidFill>
            <a:latin typeface="+mn-lt"/>
            <a:ea typeface="+mn-ea"/>
            <a:cs typeface="+mn-cs"/>
          </a:endParaRPr>
        </a:p>
      </xdr:txBody>
    </xdr:sp>
    <xdr:clientData/>
  </xdr:twoCellAnchor>
</xdr:wsDr>
</file>

<file path=xl/drawings/drawing4.xml><?xml version="1.0" encoding="utf-8"?>
<xdr:wsDr xmlns:xdr="http://schemas.openxmlformats.org/drawingml/2006/spreadsheetDrawing" xmlns:a="http://schemas.openxmlformats.org/drawingml/2006/main">
  <xdr:twoCellAnchor>
    <xdr:from>
      <xdr:col>4</xdr:col>
      <xdr:colOff>664363</xdr:colOff>
      <xdr:row>98</xdr:row>
      <xdr:rowOff>24848</xdr:rowOff>
    </xdr:from>
    <xdr:to>
      <xdr:col>8</xdr:col>
      <xdr:colOff>883315</xdr:colOff>
      <xdr:row>112</xdr:row>
      <xdr:rowOff>180146</xdr:rowOff>
    </xdr:to>
    <xdr:graphicFrame macro="">
      <xdr:nvGraphicFramePr>
        <xdr:cNvPr id="4" name="Chart 3">
          <a:extLst>
            <a:ext uri="{FF2B5EF4-FFF2-40B4-BE49-F238E27FC236}">
              <a16:creationId xmlns:a16="http://schemas.microsoft.com/office/drawing/2014/main" id="{A980BD59-465E-4F4B-B59C-FA214447548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0</xdr:colOff>
      <xdr:row>98</xdr:row>
      <xdr:rowOff>33130</xdr:rowOff>
    </xdr:from>
    <xdr:to>
      <xdr:col>4</xdr:col>
      <xdr:colOff>630932</xdr:colOff>
      <xdr:row>112</xdr:row>
      <xdr:rowOff>159027</xdr:rowOff>
    </xdr:to>
    <xdr:graphicFrame macro="">
      <xdr:nvGraphicFramePr>
        <xdr:cNvPr id="6" name="Chart 5">
          <a:extLst>
            <a:ext uri="{FF2B5EF4-FFF2-40B4-BE49-F238E27FC236}">
              <a16:creationId xmlns:a16="http://schemas.microsoft.com/office/drawing/2014/main" id="{0326899E-2F96-4FBA-B810-111672C9E8A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8</xdr:col>
      <xdr:colOff>924486</xdr:colOff>
      <xdr:row>98</xdr:row>
      <xdr:rowOff>79561</xdr:rowOff>
    </xdr:from>
    <xdr:to>
      <xdr:col>11</xdr:col>
      <xdr:colOff>778810</xdr:colOff>
      <xdr:row>112</xdr:row>
      <xdr:rowOff>155761</xdr:rowOff>
    </xdr:to>
    <mc:AlternateContent xmlns:mc="http://schemas.openxmlformats.org/markup-compatibility/2006">
      <mc:Choice xmlns:cx1="http://schemas.microsoft.com/office/drawing/2015/9/8/chartex" Requires="cx1">
        <xdr:graphicFrame macro="">
          <xdr:nvGraphicFramePr>
            <xdr:cNvPr id="7" name="Chart 6">
              <a:extLst>
                <a:ext uri="{FF2B5EF4-FFF2-40B4-BE49-F238E27FC236}">
                  <a16:creationId xmlns:a16="http://schemas.microsoft.com/office/drawing/2014/main" id="{7EC58DB0-D4A1-493F-7246-722BD0B8253E}"/>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3"/>
            </a:graphicData>
          </a:graphic>
        </xdr:graphicFrame>
      </mc:Choice>
      <mc:Fallback>
        <xdr:sp macro="" textlink="">
          <xdr:nvSpPr>
            <xdr:cNvPr id="0" name=""/>
            <xdr:cNvSpPr>
              <a:spLocks noTextEdit="1"/>
            </xdr:cNvSpPr>
          </xdr:nvSpPr>
          <xdr:spPr>
            <a:xfrm>
              <a:off x="10030386" y="23291986"/>
              <a:ext cx="4578724" cy="2800350"/>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18</xdr:col>
      <xdr:colOff>1399442</xdr:colOff>
      <xdr:row>65</xdr:row>
      <xdr:rowOff>0</xdr:rowOff>
    </xdr:from>
    <xdr:to>
      <xdr:col>22</xdr:col>
      <xdr:colOff>582491</xdr:colOff>
      <xdr:row>72</xdr:row>
      <xdr:rowOff>180975</xdr:rowOff>
    </xdr:to>
    <xdr:graphicFrame macro="">
      <xdr:nvGraphicFramePr>
        <xdr:cNvPr id="2" name="Chart 1">
          <a:extLst>
            <a:ext uri="{FF2B5EF4-FFF2-40B4-BE49-F238E27FC236}">
              <a16:creationId xmlns:a16="http://schemas.microsoft.com/office/drawing/2014/main" id="{BD54A350-635E-4FC7-97DC-1ED373AE639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27</xdr:col>
      <xdr:colOff>95249</xdr:colOff>
      <xdr:row>149</xdr:row>
      <xdr:rowOff>12455</xdr:rowOff>
    </xdr:from>
    <xdr:to>
      <xdr:col>31</xdr:col>
      <xdr:colOff>759069</xdr:colOff>
      <xdr:row>159</xdr:row>
      <xdr:rowOff>9525</xdr:rowOff>
    </xdr:to>
    <mc:AlternateContent xmlns:mc="http://schemas.openxmlformats.org/markup-compatibility/2006">
      <mc:Choice xmlns:tsle="http://schemas.microsoft.com/office/drawing/2012/timeslicer" Requires="tsle">
        <xdr:graphicFrame macro="">
          <xdr:nvGraphicFramePr>
            <xdr:cNvPr id="9" name="TransactionDate">
              <a:extLst>
                <a:ext uri="{FF2B5EF4-FFF2-40B4-BE49-F238E27FC236}">
                  <a16:creationId xmlns:a16="http://schemas.microsoft.com/office/drawing/2014/main" id="{73B9D027-7F9E-E15B-3AEA-5E4325567185}"/>
                </a:ext>
              </a:extLst>
            </xdr:cNvPr>
            <xdr:cNvGraphicFramePr>
              <a:graphicFrameLocks/>
            </xdr:cNvGraphicFramePr>
          </xdr:nvGraphicFramePr>
          <xdr:xfrm>
            <a:off x="0" y="0"/>
            <a:ext cx="0" cy="0"/>
          </xdr:xfrm>
          <a:graphic>
            <a:graphicData uri="http://schemas.microsoft.com/office/drawing/2012/timeslicer">
              <tsle:timeslicer xmlns:tsle="http://schemas.microsoft.com/office/drawing/2012/timeslicer" name="TransactionDate"/>
            </a:graphicData>
          </a:graphic>
        </xdr:graphicFrame>
      </mc:Choice>
      <mc:Fallback>
        <xdr:sp macro="" textlink="">
          <xdr:nvSpPr>
            <xdr:cNvPr id="0" name=""/>
            <xdr:cNvSpPr>
              <a:spLocks noTextEdit="1"/>
            </xdr:cNvSpPr>
          </xdr:nvSpPr>
          <xdr:spPr>
            <a:xfrm>
              <a:off x="34526053" y="33333390"/>
              <a:ext cx="3413646" cy="1902070"/>
            </a:xfrm>
            <a:prstGeom prst="rect">
              <a:avLst/>
            </a:prstGeom>
            <a:solidFill>
              <a:prstClr val="white"/>
            </a:solidFill>
            <a:ln w="1">
              <a:solidFill>
                <a:prstClr val="green"/>
              </a:solidFill>
            </a:ln>
          </xdr:spPr>
          <xdr:txBody>
            <a:bodyPr vertOverflow="clip" horzOverflow="clip"/>
            <a:lstStyle/>
            <a:p>
              <a:r>
                <a:rPr lang="en-IN" sz="1100"/>
                <a:t>Timeline: Works in Excel 2013 or higher. Do not move or resize.</a:t>
              </a:r>
            </a:p>
          </xdr:txBody>
        </xdr:sp>
      </mc:Fallback>
    </mc:AlternateContent>
    <xdr:clientData/>
  </xdr:twoCellAnchor>
  <xdr:twoCellAnchor>
    <xdr:from>
      <xdr:col>20</xdr:col>
      <xdr:colOff>10991</xdr:colOff>
      <xdr:row>159</xdr:row>
      <xdr:rowOff>145073</xdr:rowOff>
    </xdr:from>
    <xdr:to>
      <xdr:col>25</xdr:col>
      <xdr:colOff>3665</xdr:colOff>
      <xdr:row>174</xdr:row>
      <xdr:rowOff>8792</xdr:rowOff>
    </xdr:to>
    <xdr:graphicFrame macro="">
      <xdr:nvGraphicFramePr>
        <xdr:cNvPr id="10" name="Chart 9">
          <a:extLst>
            <a:ext uri="{FF2B5EF4-FFF2-40B4-BE49-F238E27FC236}">
              <a16:creationId xmlns:a16="http://schemas.microsoft.com/office/drawing/2014/main" id="{4B99A821-67A5-DE25-19F5-3EF20212302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editAs="oneCell">
    <xdr:from>
      <xdr:col>25</xdr:col>
      <xdr:colOff>83652</xdr:colOff>
      <xdr:row>159</xdr:row>
      <xdr:rowOff>158903</xdr:rowOff>
    </xdr:from>
    <xdr:to>
      <xdr:col>30</xdr:col>
      <xdr:colOff>732756</xdr:colOff>
      <xdr:row>174</xdr:row>
      <xdr:rowOff>4120</xdr:rowOff>
    </xdr:to>
    <mc:AlternateContent xmlns:mc="http://schemas.openxmlformats.org/markup-compatibility/2006">
      <mc:Choice xmlns:a14="http://schemas.microsoft.com/office/drawing/2010/main" Requires="a14">
        <xdr:graphicFrame macro="">
          <xdr:nvGraphicFramePr>
            <xdr:cNvPr id="11" name="PaymentMethod">
              <a:extLst>
                <a:ext uri="{FF2B5EF4-FFF2-40B4-BE49-F238E27FC236}">
                  <a16:creationId xmlns:a16="http://schemas.microsoft.com/office/drawing/2014/main" id="{18A9969B-3C6D-0DD7-4289-EB054C907FFE}"/>
                </a:ext>
              </a:extLst>
            </xdr:cNvPr>
            <xdr:cNvGraphicFramePr/>
          </xdr:nvGraphicFramePr>
          <xdr:xfrm>
            <a:off x="0" y="0"/>
            <a:ext cx="0" cy="0"/>
          </xdr:xfrm>
          <a:graphic>
            <a:graphicData uri="http://schemas.microsoft.com/office/drawing/2010/slicer">
              <sle:slicer xmlns:sle="http://schemas.microsoft.com/office/drawing/2010/slicer" name="PaymentMethod"/>
            </a:graphicData>
          </a:graphic>
        </xdr:graphicFrame>
      </mc:Choice>
      <mc:Fallback>
        <xdr:sp macro="" textlink="">
          <xdr:nvSpPr>
            <xdr:cNvPr id="0" name=""/>
            <xdr:cNvSpPr>
              <a:spLocks noTextEdit="1"/>
            </xdr:cNvSpPr>
          </xdr:nvSpPr>
          <xdr:spPr>
            <a:xfrm>
              <a:off x="33139543" y="35384838"/>
              <a:ext cx="4020126" cy="272756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31</xdr:col>
      <xdr:colOff>346886</xdr:colOff>
      <xdr:row>159</xdr:row>
      <xdr:rowOff>85177</xdr:rowOff>
    </xdr:from>
    <xdr:to>
      <xdr:col>38</xdr:col>
      <xdr:colOff>674308</xdr:colOff>
      <xdr:row>173</xdr:row>
      <xdr:rowOff>153866</xdr:rowOff>
    </xdr:to>
    <xdr:graphicFrame macro="">
      <xdr:nvGraphicFramePr>
        <xdr:cNvPr id="3" name="Chart 2">
          <a:extLst>
            <a:ext uri="{FF2B5EF4-FFF2-40B4-BE49-F238E27FC236}">
              <a16:creationId xmlns:a16="http://schemas.microsoft.com/office/drawing/2014/main" id="{9FC4DF7D-F202-5661-023F-236B7B34584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25</xdr:col>
      <xdr:colOff>600806</xdr:colOff>
      <xdr:row>215</xdr:row>
      <xdr:rowOff>181706</xdr:rowOff>
    </xdr:from>
    <xdr:to>
      <xdr:col>32</xdr:col>
      <xdr:colOff>241786</xdr:colOff>
      <xdr:row>230</xdr:row>
      <xdr:rowOff>67406</xdr:rowOff>
    </xdr:to>
    <xdr:graphicFrame macro="">
      <xdr:nvGraphicFramePr>
        <xdr:cNvPr id="5" name="Chart 4">
          <a:extLst>
            <a:ext uri="{FF2B5EF4-FFF2-40B4-BE49-F238E27FC236}">
              <a16:creationId xmlns:a16="http://schemas.microsoft.com/office/drawing/2014/main" id="{2247368A-191D-8AAF-5F5C-E69C33B2CDA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_rels/pivotCacheDefinition4.xml.rels><?xml version="1.0" encoding="UTF-8" standalone="yes"?>
<Relationships xmlns="http://schemas.openxmlformats.org/package/2006/relationships"><Relationship Id="rId1" Type="http://schemas.openxmlformats.org/officeDocument/2006/relationships/pivotCacheRecords" Target="pivotCacheRecords3.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MITS" refreshedDate="46178.497141666667" createdVersion="8" refreshedVersion="8" minRefreshableVersion="3" recordCount="49" xr:uid="{109AABF8-1640-4249-91F7-E988B2F7D1EC}">
  <cacheSource type="worksheet">
    <worksheetSource ref="A49:N98" sheet="Sheet1"/>
  </cacheSource>
  <cacheFields count="14">
    <cacheField name="TransactionID" numFmtId="0">
      <sharedItems containsSemiMixedTypes="0" containsString="0" containsNumber="1" containsInteger="1" minValue="1" maxValue="49"/>
    </cacheField>
    <cacheField name="CustomerID" numFmtId="0">
      <sharedItems containsSemiMixedTypes="0" containsString="0" containsNumber="1" containsInteger="1" minValue="1189" maxValue="9838"/>
    </cacheField>
    <cacheField name="ProductID" numFmtId="0">
      <sharedItems containsSemiMixedTypes="0" containsString="0" containsNumber="1" containsInteger="1" minValue="101" maxValue="951"/>
    </cacheField>
    <cacheField name="ProductCategory" numFmtId="0">
      <sharedItems/>
    </cacheField>
    <cacheField name="Quantity" numFmtId="2">
      <sharedItems containsSemiMixedTypes="0" containsString="0" containsNumber="1" containsInteger="1" minValue="1" maxValue="4"/>
    </cacheField>
    <cacheField name="Price" numFmtId="164">
      <sharedItems containsSemiMixedTypes="0" containsString="0" containsNumber="1" minValue="6.58" maxValue="984.98"/>
    </cacheField>
    <cacheField name="Discount" numFmtId="167">
      <sharedItems containsSemiMixedTypes="0" containsString="0" containsNumber="1" minValue="0.01" maxValue="0.28999999999999998"/>
    </cacheField>
    <cacheField name="TransactionDate" numFmtId="165">
      <sharedItems containsSemiMixedTypes="0" containsNonDate="0" containsDate="1" containsString="0" minDate="2023-09-11T13:03:06" maxDate="2024-08-26T07:33:38"/>
    </cacheField>
    <cacheField name="PaymentMethod" numFmtId="0">
      <sharedItems/>
    </cacheField>
    <cacheField name="CustomerLocation" numFmtId="0">
      <sharedItems/>
    </cacheField>
    <cacheField name="CustomerAge" numFmtId="0">
      <sharedItems containsSemiMixedTypes="0" containsString="0" containsNumber="1" containsInteger="1" minValue="20" maxValue="69"/>
    </cacheField>
    <cacheField name="CustomerGender" numFmtId="0">
      <sharedItems count="3">
        <s v="Female"/>
        <s v="Other"/>
        <s v="Male"/>
      </sharedItems>
    </cacheField>
    <cacheField name="CustomerIncomeGroup" numFmtId="0">
      <sharedItems/>
    </cacheField>
    <cacheField name="CustomerLoyaltyScore" numFmtId="2">
      <sharedItems containsSemiMixedTypes="0" containsString="0" containsNumber="1" minValue="-44.5" maxValue="98.52"/>
    </cacheField>
  </cacheFields>
  <extLst>
    <ext xmlns:x14="http://schemas.microsoft.com/office/spreadsheetml/2009/9/main" uri="{725AE2AE-9491-48be-B2B4-4EB974FC3084}">
      <x14:pivotCacheDefinition/>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MITS" refreshedDate="46178.497141782405" createdVersion="8" refreshedVersion="8" minRefreshableVersion="3" recordCount="49" xr:uid="{CFCEBA57-5652-4489-B518-2D685FFA75EF}">
  <cacheSource type="worksheet">
    <worksheetSource ref="A49:N98" sheet="Sheet1"/>
  </cacheSource>
  <cacheFields count="14">
    <cacheField name="TransactionID" numFmtId="0">
      <sharedItems containsSemiMixedTypes="0" containsString="0" containsNumber="1" containsInteger="1" minValue="1" maxValue="49"/>
    </cacheField>
    <cacheField name="CustomerID" numFmtId="0">
      <sharedItems containsSemiMixedTypes="0" containsString="0" containsNumber="1" containsInteger="1" minValue="1189" maxValue="9838"/>
    </cacheField>
    <cacheField name="ProductID" numFmtId="0">
      <sharedItems containsSemiMixedTypes="0" containsString="0" containsNumber="1" containsInteger="1" minValue="101" maxValue="951"/>
    </cacheField>
    <cacheField name="ProductCategory" numFmtId="0">
      <sharedItems/>
    </cacheField>
    <cacheField name="Quantity" numFmtId="2">
      <sharedItems containsSemiMixedTypes="0" containsString="0" containsNumber="1" containsInteger="1" minValue="1" maxValue="4"/>
    </cacheField>
    <cacheField name="Price" numFmtId="164">
      <sharedItems containsSemiMixedTypes="0" containsString="0" containsNumber="1" minValue="6.58" maxValue="984.98"/>
    </cacheField>
    <cacheField name="Discount" numFmtId="167">
      <sharedItems containsSemiMixedTypes="0" containsString="0" containsNumber="1" minValue="0.01" maxValue="0.28999999999999998"/>
    </cacheField>
    <cacheField name="TransactionDate" numFmtId="165">
      <sharedItems containsSemiMixedTypes="0" containsNonDate="0" containsDate="1" containsString="0" minDate="2023-09-11T13:03:06" maxDate="2024-08-26T07:33:38"/>
    </cacheField>
    <cacheField name="PaymentMethod" numFmtId="0">
      <sharedItems count="5">
        <s v="Cash on Delivery"/>
        <s v="Debit Card"/>
        <s v="Bank Transfer"/>
        <s v="Credit Card"/>
        <s v="PayPal"/>
      </sharedItems>
    </cacheField>
    <cacheField name="CustomerLocation" numFmtId="0">
      <sharedItems/>
    </cacheField>
    <cacheField name="CustomerAge" numFmtId="0">
      <sharedItems containsSemiMixedTypes="0" containsString="0" containsNumber="1" containsInteger="1" minValue="20" maxValue="69"/>
    </cacheField>
    <cacheField name="CustomerGender" numFmtId="0">
      <sharedItems/>
    </cacheField>
    <cacheField name="CustomerIncomeGroup" numFmtId="0">
      <sharedItems/>
    </cacheField>
    <cacheField name="CustomerLoyaltyScore" numFmtId="2">
      <sharedItems containsSemiMixedTypes="0" containsString="0" containsNumber="1" minValue="-44.5" maxValue="98.52"/>
    </cacheField>
  </cacheFields>
  <extLst>
    <ext xmlns:x14="http://schemas.microsoft.com/office/spreadsheetml/2009/9/main" uri="{725AE2AE-9491-48be-B2B4-4EB974FC3084}">
      <x14:pivotCacheDefinition/>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ITS" refreshedDate="46179.602364467595" backgroundQuery="1" createdVersion="8" refreshedVersion="8" minRefreshableVersion="3" recordCount="0" supportSubquery="1" supportAdvancedDrill="1" xr:uid="{000112AF-FD15-4BC6-9E10-2DEF1FEDCF9D}">
  <cacheSource type="external" connectionId="1"/>
  <cacheFields count="0"/>
  <cacheHierarchies count="42">
    <cacheHierarchy uniqueName="[Range].[TransactionID]" caption="TransactionID" attribute="1" defaultMemberUniqueName="[Range].[TransactionID].[All]" allUniqueName="[Range].[TransactionID].[All]" dimensionUniqueName="[Range]" displayFolder="" count="0" memberValueDatatype="20" unbalanced="0"/>
    <cacheHierarchy uniqueName="[Range].[CustomerID]" caption="CustomerID" attribute="1" defaultMemberUniqueName="[Range].[CustomerID].[All]" allUniqueName="[Range].[CustomerID].[All]" dimensionUniqueName="[Range]" displayFolder="" count="0" memberValueDatatype="20" unbalanced="0"/>
    <cacheHierarchy uniqueName="[Range].[ProductID]" caption="ProductID" attribute="1" defaultMemberUniqueName="[Range].[ProductID].[All]" allUniqueName="[Range].[ProductID].[All]" dimensionUniqueName="[Range]" displayFolder="" count="0" memberValueDatatype="20" unbalanced="0"/>
    <cacheHierarchy uniqueName="[Range].[ProductCategory]" caption="ProductCategory" attribute="1" defaultMemberUniqueName="[Range].[ProductCategory].[All]" allUniqueName="[Range].[ProductCategory].[All]" dimensionUniqueName="[Range]" displayFolder="" count="0" memberValueDatatype="130" unbalanced="0"/>
    <cacheHierarchy uniqueName="[Range].[Quantity]" caption="Quantity" attribute="1" defaultMemberUniqueName="[Range].[Quantity].[All]" allUniqueName="[Range].[Quantity].[All]" dimensionUniqueName="[Range]" displayFolder="" count="0" memberValueDatatype="20" unbalanced="0"/>
    <cacheHierarchy uniqueName="[Range].[Price]" caption="Price" attribute="1" defaultMemberUniqueName="[Range].[Price].[All]" allUniqueName="[Range].[Price].[All]" dimensionUniqueName="[Range]" displayFolder="" count="0" memberValueDatatype="5" unbalanced="0"/>
    <cacheHierarchy uniqueName="[Range].[Discount]" caption="Discount" attribute="1" defaultMemberUniqueName="[Range].[Discount].[All]" allUniqueName="[Range].[Discount].[All]" dimensionUniqueName="[Range]" displayFolder="" count="0" memberValueDatatype="5" unbalanced="0"/>
    <cacheHierarchy uniqueName="[Range].[TransactionDate]" caption="TransactionDate" attribute="1" time="1" defaultMemberUniqueName="[Range].[TransactionDate].[All]" allUniqueName="[Range].[TransactionDate].[All]" dimensionUniqueName="[Range]" displayFolder="" count="0" memberValueDatatype="7" unbalanced="0"/>
    <cacheHierarchy uniqueName="[Range].[PaymentMethod]" caption="PaymentMethod" attribute="1" defaultMemberUniqueName="[Range].[PaymentMethod].[All]" allUniqueName="[Range].[PaymentMethod].[All]" dimensionUniqueName="[Range]" displayFolder="" count="0" memberValueDatatype="130" unbalanced="0"/>
    <cacheHierarchy uniqueName="[Range].[CustomerLocation]" caption="CustomerLocation" attribute="1" defaultMemberUniqueName="[Range].[CustomerLocation].[All]" allUniqueName="[Range].[CustomerLocation].[All]" dimensionUniqueName="[Range]" displayFolder="" count="0" memberValueDatatype="130" unbalanced="0"/>
    <cacheHierarchy uniqueName="[Range].[CustomerAge]" caption="CustomerAge" attribute="1" defaultMemberUniqueName="[Range].[CustomerAge].[All]" allUniqueName="[Range].[CustomerAge].[All]" dimensionUniqueName="[Range]" displayFolder="" count="0" memberValueDatatype="20" unbalanced="0"/>
    <cacheHierarchy uniqueName="[Range].[CustomerGender]" caption="CustomerGender" attribute="1" defaultMemberUniqueName="[Range].[CustomerGender].[All]" allUniqueName="[Range].[CustomerGender].[All]" dimensionUniqueName="[Range]" displayFolder="" count="0" memberValueDatatype="130" unbalanced="0"/>
    <cacheHierarchy uniqueName="[Range].[CustomerIncomeGroup]" caption="CustomerIncomeGroup" attribute="1" defaultMemberUniqueName="[Range].[CustomerIncomeGroup].[All]" allUniqueName="[Range].[CustomerIncomeGroup].[All]" dimensionUniqueName="[Range]" displayFolder="" count="0" memberValueDatatype="130" unbalanced="0"/>
    <cacheHierarchy uniqueName="[Range].[CustomerLoyaltyScore]" caption="CustomerLoyaltyScore" attribute="1" defaultMemberUniqueName="[Range].[CustomerLoyaltyScore].[All]" allUniqueName="[Range].[CustomerLoyaltyScore].[All]" dimensionUniqueName="[Range]" displayFolder="" count="0" memberValueDatatype="5" unbalanced="0"/>
    <cacheHierarchy uniqueName="[Range 1].[TransactionID]" caption="TransactionID" attribute="1" defaultMemberUniqueName="[Range 1].[TransactionID].[All]" allUniqueName="[Range 1].[TransactionID].[All]" dimensionUniqueName="[Range 1]" displayFolder="" count="0" memberValueDatatype="20" unbalanced="0"/>
    <cacheHierarchy uniqueName="[Range 1].[CustomerID]" caption="CustomerID" attribute="1" defaultMemberUniqueName="[Range 1].[CustomerID].[All]" allUniqueName="[Range 1].[CustomerID].[All]" dimensionUniqueName="[Range 1]" displayFolder="" count="0" memberValueDatatype="20" unbalanced="0"/>
    <cacheHierarchy uniqueName="[Range 1].[ProductID]" caption="ProductID" attribute="1" defaultMemberUniqueName="[Range 1].[ProductID].[All]" allUniqueName="[Range 1].[ProductID].[All]" dimensionUniqueName="[Range 1]" displayFolder="" count="0" memberValueDatatype="20" unbalanced="0"/>
    <cacheHierarchy uniqueName="[Range 1].[ProductCategory]" caption="ProductCategory" attribute="1" defaultMemberUniqueName="[Range 1].[ProductCategory].[All]" allUniqueName="[Range 1].[ProductCategory].[All]" dimensionUniqueName="[Range 1]" displayFolder="" count="0" memberValueDatatype="130" unbalanced="0"/>
    <cacheHierarchy uniqueName="[Range 1].[Quantity]" caption="Quantity" attribute="1" defaultMemberUniqueName="[Range 1].[Quantity].[All]" allUniqueName="[Range 1].[Quantity].[All]" dimensionUniqueName="[Range 1]" displayFolder="" count="0" memberValueDatatype="20" unbalanced="0"/>
    <cacheHierarchy uniqueName="[Range 1].[Price]" caption="Price" attribute="1" defaultMemberUniqueName="[Range 1].[Price].[All]" allUniqueName="[Range 1].[Price].[All]" dimensionUniqueName="[Range 1]" displayFolder="" count="0" memberValueDatatype="5" unbalanced="0"/>
    <cacheHierarchy uniqueName="[Range 1].[Discount]" caption="Discount" attribute="1" defaultMemberUniqueName="[Range 1].[Discount].[All]" allUniqueName="[Range 1].[Discount].[All]" dimensionUniqueName="[Range 1]" displayFolder="" count="0" memberValueDatatype="5" unbalanced="0"/>
    <cacheHierarchy uniqueName="[Range 1].[TransactionDate]" caption="TransactionDate" attribute="1" time="1" defaultMemberUniqueName="[Range 1].[TransactionDate].[All]" allUniqueName="[Range 1].[TransactionDate].[All]" dimensionUniqueName="[Range 1]" displayFolder="" count="0" memberValueDatatype="7" unbalanced="0"/>
    <cacheHierarchy uniqueName="[Range 1].[PaymentMethod]" caption="PaymentMethod" attribute="1" defaultMemberUniqueName="[Range 1].[PaymentMethod].[All]" allUniqueName="[Range 1].[PaymentMethod].[All]" dimensionUniqueName="[Range 1]" displayFolder="" count="0" memberValueDatatype="130" unbalanced="0"/>
    <cacheHierarchy uniqueName="[Range 1].[CustomerLocation]" caption="CustomerLocation" attribute="1" defaultMemberUniqueName="[Range 1].[CustomerLocation].[All]" allUniqueName="[Range 1].[CustomerLocation].[All]" dimensionUniqueName="[Range 1]" displayFolder="" count="0" memberValueDatatype="130" unbalanced="0"/>
    <cacheHierarchy uniqueName="[Range 1].[CustomerAge]" caption="CustomerAge" attribute="1" defaultMemberUniqueName="[Range 1].[CustomerAge].[All]" allUniqueName="[Range 1].[CustomerAge].[All]" dimensionUniqueName="[Range 1]" displayFolder="" count="0" memberValueDatatype="20" unbalanced="0"/>
    <cacheHierarchy uniqueName="[Range 1].[CustomerGender]" caption="CustomerGender" attribute="1" defaultMemberUniqueName="[Range 1].[CustomerGender].[All]" allUniqueName="[Range 1].[CustomerGender].[All]" dimensionUniqueName="[Range 1]" displayFolder="" count="0" memberValueDatatype="130" unbalanced="0"/>
    <cacheHierarchy uniqueName="[Range 1].[CustomerIncomeGroup]" caption="CustomerIncomeGroup" attribute="1" defaultMemberUniqueName="[Range 1].[CustomerIncomeGroup].[All]" allUniqueName="[Range 1].[CustomerIncomeGroup].[All]" dimensionUniqueName="[Range 1]" displayFolder="" count="0" memberValueDatatype="130" unbalanced="0"/>
    <cacheHierarchy uniqueName="[Range 1].[CustomerLoyaltyScore]" caption="CustomerLoyaltyScore" attribute="1" defaultMemberUniqueName="[Range 1].[CustomerLoyaltyScore].[All]" allUniqueName="[Range 1].[CustomerLoyaltyScore].[All]" dimensionUniqueName="[Range 1]" displayFolder="" count="0" memberValueDatatype="5" unbalanced="0"/>
    <cacheHierarchy uniqueName="[Range 1].[feedback]" caption="feedback" attribute="1" defaultMemberUniqueName="[Range 1].[feedback].[All]" allUniqueName="[Range 1].[feedback].[All]" dimensionUniqueName="[Range 1]" displayFolder="" count="0" memberValueDatatype="20" unbalanced="0"/>
    <cacheHierarchy uniqueName="[Range 1].[Region]" caption="Region" attribute="1" defaultMemberUniqueName="[Range 1].[Region].[All]" allUniqueName="[Range 1].[Region].[All]" dimensionUniqueName="[Range 1]" displayFolder="" count="0" memberValueDatatype="130" unbalanced="0"/>
    <cacheHierarchy uniqueName="[Range 1].[Sales]" caption="Sales" attribute="1" defaultMemberUniqueName="[Range 1].[Sales].[All]" allUniqueName="[Range 1].[Sales].[All]" dimensionUniqueName="[Range 1]" displayFolder="" count="0" memberValueDatatype="20" unbalanced="0"/>
    <cacheHierarchy uniqueName="[Range 1].[Profit]" caption="Profit" attribute="1" defaultMemberUniqueName="[Range 1].[Profit].[All]" allUniqueName="[Range 1].[Profit].[All]" dimensionUniqueName="[Range 1]" displayFolder="" count="0" memberValueDatatype="20" unbalanced="0"/>
    <cacheHierarchy uniqueName="[Table2].[Product]" caption="Product" attribute="1" defaultMemberUniqueName="[Table2].[Product].[All]" allUniqueName="[Table2].[Product].[All]" dimensionUniqueName="[Table2]" displayFolder="" count="0" memberValueDatatype="130" unbalanced="0"/>
    <cacheHierarchy uniqueName="[Table2].[A]" caption="A" attribute="1" defaultMemberUniqueName="[Table2].[A].[All]" allUniqueName="[Table2].[A].[All]" dimensionUniqueName="[Table2]" displayFolder="" count="0" memberValueDatatype="130" unbalanced="0"/>
    <cacheHierarchy uniqueName="[Table2].[B]" caption="B" attribute="1" defaultMemberUniqueName="[Table2].[B].[All]" allUniqueName="[Table2].[B].[All]" dimensionUniqueName="[Table2]" displayFolder="" count="0" memberValueDatatype="130" unbalanced="0"/>
    <cacheHierarchy uniqueName="[Table2].[C]" caption="C" attribute="1" defaultMemberUniqueName="[Table2].[C].[All]" allUniqueName="[Table2].[C].[All]" dimensionUniqueName="[Table2]" displayFolder="" count="0" memberValueDatatype="130" unbalanced="0"/>
    <cacheHierarchy uniqueName="[Table2].[D]" caption="D" attribute="1" defaultMemberUniqueName="[Table2].[D].[All]" allUniqueName="[Table2].[D].[All]" dimensionUniqueName="[Table2]" displayFolder="" count="0" memberValueDatatype="130" unbalanced="0"/>
    <cacheHierarchy uniqueName="[Table2].[Hlookup]" caption="Hlookup" attribute="1" defaultMemberUniqueName="[Table2].[Hlookup].[All]" allUniqueName="[Table2].[Hlookup].[All]" dimensionUniqueName="[Table2]" displayFolder="" count="0" memberValueDatatype="20" unbalanced="0"/>
    <cacheHierarchy uniqueName="[Measures].[__XL_Count Range]" caption="__XL_Count Range" measure="1" displayFolder="" measureGroup="Range" count="0" hidden="1"/>
    <cacheHierarchy uniqueName="[Measures].[__XL_Count Table2]" caption="__XL_Count Table2" measure="1" displayFolder="" measureGroup="Table2" count="0" hidden="1"/>
    <cacheHierarchy uniqueName="[Measures].[__XL_Count Range 1]" caption="__XL_Count Range 1" measure="1" displayFolder="" measureGroup="Range 1" count="0" hidden="1"/>
    <cacheHierarchy uniqueName="[Measures].[__No measures defined]" caption="__No measures defined" measure="1" displayFolder="" count="0" hidden="1"/>
  </cacheHierarchies>
  <kpis count="0"/>
  <dimensions count="4">
    <dimension measure="1" name="Measures" uniqueName="[Measures]" caption="Measures"/>
    <dimension name="Range" uniqueName="[Range]" caption="Range"/>
    <dimension name="Range 1" uniqueName="[Range 1]" caption="Range 1"/>
    <dimension name="Table2" uniqueName="[Table2]" caption="Table2"/>
  </dimensions>
  <measureGroups count="3">
    <measureGroup name="Range" caption="Range"/>
    <measureGroup name="Range 1" caption="Range 1"/>
    <measureGroup name="Table2" caption="Table2"/>
  </measureGroups>
  <maps count="3">
    <map measureGroup="0" dimension="1"/>
    <map measureGroup="1" dimension="2"/>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MITS" refreshedDate="46179.680315625003" createdVersion="8" refreshedVersion="8" minRefreshableVersion="3" recordCount="49" xr:uid="{F34DC6E4-A0D3-4EE4-B016-241A1743573B}">
  <cacheSource type="worksheet">
    <worksheetSource ref="A49:R98" sheet="Sheet1"/>
  </cacheSource>
  <cacheFields count="18">
    <cacheField name="TransactionID" numFmtId="0">
      <sharedItems containsSemiMixedTypes="0" containsString="0" containsNumber="1" containsInteger="1" minValue="1" maxValue="49"/>
    </cacheField>
    <cacheField name="CustomerID" numFmtId="0">
      <sharedItems containsSemiMixedTypes="0" containsString="0" containsNumber="1" containsInteger="1" minValue="1189" maxValue="9838"/>
    </cacheField>
    <cacheField name="ProductID" numFmtId="0">
      <sharedItems containsSemiMixedTypes="0" containsString="0" containsNumber="1" containsInteger="1" minValue="101" maxValue="951"/>
    </cacheField>
    <cacheField name="ProductCategory" numFmtId="0">
      <sharedItems count="7">
        <s v="Clothing"/>
        <s v="Beauty"/>
        <s v="Toys"/>
        <s v="Electronics"/>
        <s v="Books"/>
        <s v="Sports"/>
        <s v="Home &amp; Kitchen"/>
      </sharedItems>
    </cacheField>
    <cacheField name="Quantity" numFmtId="2">
      <sharedItems containsSemiMixedTypes="0" containsString="0" containsNumber="1" containsInteger="1" minValue="1" maxValue="4" count="4">
        <n v="1"/>
        <n v="2"/>
        <n v="3"/>
        <n v="4"/>
      </sharedItems>
    </cacheField>
    <cacheField name="Price" numFmtId="164">
      <sharedItems containsSemiMixedTypes="0" containsString="0" containsNumber="1" minValue="6.58" maxValue="984.98"/>
    </cacheField>
    <cacheField name="Discount" numFmtId="167">
      <sharedItems containsSemiMixedTypes="0" containsString="0" containsNumber="1" minValue="0.01" maxValue="0.28999999999999998"/>
    </cacheField>
    <cacheField name="TransactionDate" numFmtId="165">
      <sharedItems containsSemiMixedTypes="0" containsNonDate="0" containsDate="1" containsString="0" minDate="2023-09-11T13:03:06" maxDate="2024-08-26T07:33:38" count="49">
        <d v="2023-12-22T10:35:26"/>
        <d v="2024-05-05T10:40:33"/>
        <d v="2023-12-04T05:22:59"/>
        <d v="2024-01-02T11:11:00"/>
        <d v="2024-06-18T01:01:29"/>
        <d v="2024-03-06T06:15:28"/>
        <d v="2023-10-15T13:30:31"/>
        <d v="2024-05-16T01:46:00"/>
        <d v="2024-08-04T17:13:39"/>
        <d v="2023-12-18T18:38:53"/>
        <d v="2024-05-26T02:56:46"/>
        <d v="2023-09-26T05:18:30"/>
        <d v="2023-12-13T23:53:52"/>
        <d v="2023-12-02T07:44:27"/>
        <d v="2024-03-01T17:49:13"/>
        <d v="2024-08-12T12:13:05"/>
        <d v="2024-07-24T08:49:00"/>
        <d v="2024-06-14T18:03:29"/>
        <d v="2024-03-02T05:18:42"/>
        <d v="2024-05-19T13:22:45"/>
        <d v="2024-05-13T10:04:09"/>
        <d v="2024-04-05T20:50:36"/>
        <d v="2023-11-17T05:30:14"/>
        <d v="2024-08-05T14:07:57"/>
        <d v="2024-02-24T01:14:50"/>
        <d v="2024-03-04T09:18:55"/>
        <d v="2023-10-26T07:12:09"/>
        <d v="2024-08-04T12:39:59"/>
        <d v="2024-05-06T01:39:20"/>
        <d v="2023-10-23T11:34:13"/>
        <d v="2024-01-10T02:42:31"/>
        <d v="2024-05-10T18:45:11"/>
        <d v="2024-06-26T03:10:11"/>
        <d v="2023-09-16T17:22:21"/>
        <d v="2023-11-18T18:04:26"/>
        <d v="2024-01-14T01:16:35"/>
        <d v="2023-11-12T01:30:26"/>
        <d v="2024-08-17T13:48:43"/>
        <d v="2023-12-19T01:35:37"/>
        <d v="2023-11-20T20:28:37"/>
        <d v="2024-08-26T07:33:38"/>
        <d v="2024-05-24T07:56:09"/>
        <d v="2023-10-12T07:30:30"/>
        <d v="2023-11-26T19:53:06"/>
        <d v="2024-07-26T23:44:49"/>
        <d v="2024-05-27T01:53:06"/>
        <d v="2023-09-24T06:40:27"/>
        <d v="2023-09-11T13:03:06"/>
        <d v="2024-06-08T03:49:08"/>
      </sharedItems>
    </cacheField>
    <cacheField name="PaymentMethod" numFmtId="0">
      <sharedItems count="5">
        <s v="Cash on Delivery"/>
        <s v="Debit Card"/>
        <s v="Bank Transfer"/>
        <s v="Credit Card"/>
        <s v="PayPal"/>
      </sharedItems>
    </cacheField>
    <cacheField name="CustomerLocation" numFmtId="0">
      <sharedItems/>
    </cacheField>
    <cacheField name="CustomerAge" numFmtId="0">
      <sharedItems containsSemiMixedTypes="0" containsString="0" containsNumber="1" containsInteger="1" minValue="20" maxValue="69"/>
    </cacheField>
    <cacheField name="CustomerGender" numFmtId="0">
      <sharedItems count="3">
        <s v="Female"/>
        <s v="Other"/>
        <s v="Male"/>
      </sharedItems>
    </cacheField>
    <cacheField name="CustomerIncomeGroup" numFmtId="0">
      <sharedItems/>
    </cacheField>
    <cacheField name="CustomerLoyaltyScore" numFmtId="2">
      <sharedItems containsSemiMixedTypes="0" containsString="0" containsNumber="1" minValue="-44.5" maxValue="98.52"/>
    </cacheField>
    <cacheField name="feedback" numFmtId="0">
      <sharedItems containsSemiMixedTypes="0" containsString="0" containsNumber="1" containsInteger="1" minValue="4" maxValue="5"/>
    </cacheField>
    <cacheField name="Region" numFmtId="0">
      <sharedItems count="4">
        <s v="North"/>
        <s v="South"/>
        <s v="East"/>
        <s v="West"/>
      </sharedItems>
    </cacheField>
    <cacheField name="Sales" numFmtId="2">
      <sharedItems containsSemiMixedTypes="0" containsString="0" containsNumber="1" containsInteger="1" minValue="2200" maxValue="8800"/>
    </cacheField>
    <cacheField name="Profit" numFmtId="2">
      <sharedItems containsSemiMixedTypes="0" containsString="0" containsNumber="1" containsInteger="1" minValue="-100" maxValue="2800"/>
    </cacheField>
  </cacheFields>
  <extLst>
    <ext xmlns:x14="http://schemas.microsoft.com/office/spreadsheetml/2009/9/main" uri="{725AE2AE-9491-48be-B2B4-4EB974FC3084}">
      <x14:pivotCacheDefinition pivotCacheId="1501637475"/>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49">
  <r>
    <n v="1"/>
    <n v="8270"/>
    <n v="295"/>
    <s v="Clothing"/>
    <n v="1"/>
    <n v="801.66"/>
    <n v="0.13"/>
    <d v="2023-12-22T10:35:26"/>
    <s v="Cash on Delivery"/>
    <s v="New Juan"/>
    <n v="46"/>
    <x v="0"/>
    <s v="Medium"/>
    <n v="83.36"/>
  </r>
  <r>
    <n v="2"/>
    <n v="1860"/>
    <n v="546"/>
    <s v="Beauty"/>
    <n v="1"/>
    <n v="225.03"/>
    <n v="0.06"/>
    <d v="2024-05-05T10:40:33"/>
    <s v="Debit Card"/>
    <s v="South Julie"/>
    <n v="59"/>
    <x v="1"/>
    <s v="High"/>
    <n v="58.88"/>
  </r>
  <r>
    <n v="3"/>
    <n v="6390"/>
    <n v="430"/>
    <s v="Toys"/>
    <n v="2"/>
    <n v="544.99"/>
    <n v="0.24"/>
    <d v="2023-12-04T05:22:59"/>
    <s v="Debit Card"/>
    <s v="West Carrieview"/>
    <n v="61"/>
    <x v="0"/>
    <s v="High"/>
    <n v="53.99"/>
  </r>
  <r>
    <n v="4"/>
    <n v="6191"/>
    <n v="807"/>
    <s v="Beauty"/>
    <n v="2"/>
    <n v="157.02000000000001"/>
    <n v="0.01"/>
    <d v="2024-01-02T11:11:00"/>
    <s v="Bank Transfer"/>
    <s v="Christianberg"/>
    <n v="69"/>
    <x v="0"/>
    <s v="Low"/>
    <n v="-11.73"/>
  </r>
  <r>
    <n v="5"/>
    <n v="6734"/>
    <n v="319"/>
    <s v="Electronics"/>
    <n v="2"/>
    <n v="155.51"/>
    <n v="0.14000000000000001"/>
    <d v="2024-06-18T01:01:29"/>
    <s v="Debit Card"/>
    <s v="South Williamhaven"/>
    <n v="29"/>
    <x v="1"/>
    <s v="High"/>
    <n v="-44.5"/>
  </r>
  <r>
    <n v="6"/>
    <n v="7265"/>
    <n v="282"/>
    <s v="Books"/>
    <n v="3"/>
    <n v="225.65"/>
    <n v="0.18"/>
    <d v="2024-03-06T06:15:28"/>
    <s v="Bank Transfer"/>
    <s v="Stephenfort"/>
    <n v="60"/>
    <x v="2"/>
    <s v="High"/>
    <n v="25.78"/>
  </r>
  <r>
    <n v="7"/>
    <n v="1466"/>
    <n v="276"/>
    <s v="Beauty"/>
    <n v="3"/>
    <n v="631.96"/>
    <n v="0.09"/>
    <d v="2023-10-15T13:30:31"/>
    <s v="Credit Card"/>
    <s v="North Terristad"/>
    <n v="69"/>
    <x v="2"/>
    <s v="Low"/>
    <n v="68.36"/>
  </r>
  <r>
    <n v="8"/>
    <n v="5426"/>
    <n v="574"/>
    <s v="Sports"/>
    <n v="1"/>
    <n v="522.87"/>
    <n v="0.28999999999999998"/>
    <d v="2024-05-16T01:46:00"/>
    <s v="Cash on Delivery"/>
    <s v="Pachecotown"/>
    <n v="45"/>
    <x v="0"/>
    <s v="High"/>
    <n v="19.23"/>
  </r>
  <r>
    <n v="9"/>
    <n v="6578"/>
    <n v="948"/>
    <s v="Books"/>
    <n v="4"/>
    <n v="202.66"/>
    <n v="0.12"/>
    <d v="2024-08-04T17:13:39"/>
    <s v="Cash on Delivery"/>
    <s v="Port Philipberg"/>
    <n v="37"/>
    <x v="2"/>
    <s v="Low"/>
    <n v="28.61"/>
  </r>
  <r>
    <n v="10"/>
    <n v="9322"/>
    <n v="459"/>
    <s v="Toys"/>
    <n v="3"/>
    <n v="401.52"/>
    <n v="0.23"/>
    <d v="2023-12-18T18:38:53"/>
    <s v="Cash on Delivery"/>
    <s v="Jenniferfurt"/>
    <n v="67"/>
    <x v="0"/>
    <s v="Low"/>
    <n v="35.18"/>
  </r>
  <r>
    <n v="11"/>
    <n v="2685"/>
    <n v="745"/>
    <s v="Clothing"/>
    <n v="3"/>
    <n v="346.31"/>
    <n v="0.06"/>
    <d v="2024-05-26T02:56:46"/>
    <s v="Cash on Delivery"/>
    <s v="Lake Carolyn"/>
    <n v="36"/>
    <x v="1"/>
    <s v="Low"/>
    <n v="76.819999999999993"/>
  </r>
  <r>
    <n v="12"/>
    <n v="1769"/>
    <n v="564"/>
    <s v="Sports"/>
    <n v="1"/>
    <n v="434.15"/>
    <n v="0.05"/>
    <d v="2023-09-26T05:18:30"/>
    <s v="Bank Transfer"/>
    <s v="Amandaborough"/>
    <n v="61"/>
    <x v="1"/>
    <s v="High"/>
    <n v="26.24"/>
  </r>
  <r>
    <n v="13"/>
    <n v="7949"/>
    <n v="334"/>
    <s v="Electronics"/>
    <n v="3"/>
    <n v="189.87"/>
    <n v="0.25"/>
    <d v="2023-12-13T23:53:52"/>
    <s v="Credit Card"/>
    <s v="South Maria"/>
    <n v="65"/>
    <x v="1"/>
    <s v="Low"/>
    <n v="39.909999999999997"/>
  </r>
  <r>
    <n v="14"/>
    <n v="3433"/>
    <n v="536"/>
    <s v="Home &amp; Kitchen"/>
    <n v="1"/>
    <n v="559.1"/>
    <n v="0.15"/>
    <d v="2023-12-02T07:44:27"/>
    <s v="Debit Card"/>
    <s v="West Marissa"/>
    <n v="35"/>
    <x v="2"/>
    <s v="Low"/>
    <n v="69.39"/>
  </r>
  <r>
    <n v="15"/>
    <n v="6311"/>
    <n v="239"/>
    <s v="Toys"/>
    <n v="3"/>
    <n v="29.01"/>
    <n v="0.26"/>
    <d v="2024-03-01T17:49:13"/>
    <s v="Cash on Delivery"/>
    <s v="Austinburgh"/>
    <n v="20"/>
    <x v="1"/>
    <s v="High"/>
    <n v="10.33"/>
  </r>
  <r>
    <n v="16"/>
    <n v="6051"/>
    <n v="587"/>
    <s v="Toys"/>
    <n v="2"/>
    <n v="541.5"/>
    <n v="0.22"/>
    <d v="2024-08-12T12:13:05"/>
    <s v="Bank Transfer"/>
    <s v="Lake Jesse"/>
    <n v="46"/>
    <x v="1"/>
    <s v="Low"/>
    <n v="41.77"/>
  </r>
  <r>
    <n v="17"/>
    <n v="7420"/>
    <n v="868"/>
    <s v="Beauty"/>
    <n v="4"/>
    <n v="218.68"/>
    <n v="0.19"/>
    <d v="2024-07-24T08:49:00"/>
    <s v="Credit Card"/>
    <s v="Marioburgh"/>
    <n v="21"/>
    <x v="1"/>
    <s v="Medium"/>
    <n v="9.93"/>
  </r>
  <r>
    <n v="18"/>
    <n v="2184"/>
    <n v="384"/>
    <s v="Clothing"/>
    <n v="2"/>
    <n v="439.07"/>
    <n v="0.26"/>
    <d v="2024-06-14T18:03:29"/>
    <s v="PayPal"/>
    <s v="Ryanhaven"/>
    <n v="23"/>
    <x v="1"/>
    <s v="Medium"/>
    <n v="97.73"/>
  </r>
  <r>
    <n v="19"/>
    <n v="5555"/>
    <n v="701"/>
    <s v="Books"/>
    <n v="4"/>
    <n v="849.82"/>
    <n v="0.12"/>
    <d v="2024-03-02T05:18:42"/>
    <s v="Cash on Delivery"/>
    <s v="Dickersonmouth"/>
    <n v="52"/>
    <x v="0"/>
    <s v="Low"/>
    <n v="54.32"/>
  </r>
  <r>
    <n v="20"/>
    <n v="4385"/>
    <n v="427"/>
    <s v="Electronics"/>
    <n v="1"/>
    <n v="886.69"/>
    <n v="0.28000000000000003"/>
    <d v="2024-05-19T13:22:45"/>
    <s v="Debit Card"/>
    <s v="Annaborough"/>
    <n v="46"/>
    <x v="1"/>
    <s v="Low"/>
    <n v="57.35"/>
  </r>
  <r>
    <n v="21"/>
    <n v="7396"/>
    <n v="150"/>
    <s v="Toys"/>
    <n v="2"/>
    <n v="137.79"/>
    <n v="0.04"/>
    <d v="2024-05-13T10:04:09"/>
    <s v="Credit Card"/>
    <s v="Ramirezburgh"/>
    <n v="60"/>
    <x v="2"/>
    <s v="Medium"/>
    <n v="41.08"/>
  </r>
  <r>
    <n v="22"/>
    <n v="9666"/>
    <n v="797"/>
    <s v="Electronics"/>
    <n v="4"/>
    <n v="6.58"/>
    <n v="0.04"/>
    <d v="2024-04-05T20:50:36"/>
    <s v="PayPal"/>
    <s v="Sextonberg"/>
    <n v="54"/>
    <x v="0"/>
    <s v="Medium"/>
    <n v="88.02"/>
  </r>
  <r>
    <n v="23"/>
    <n v="3558"/>
    <n v="577"/>
    <s v="Toys"/>
    <n v="3"/>
    <n v="888.2"/>
    <n v="0.04"/>
    <d v="2023-11-17T05:30:14"/>
    <s v="Cash on Delivery"/>
    <s v="Beasleyshire"/>
    <n v="29"/>
    <x v="1"/>
    <s v="Medium"/>
    <n v="67.510000000000005"/>
  </r>
  <r>
    <n v="24"/>
    <n v="8849"/>
    <n v="385"/>
    <s v="Toys"/>
    <n v="4"/>
    <n v="109.35"/>
    <n v="0.15"/>
    <d v="2024-08-05T14:07:57"/>
    <s v="Debit Card"/>
    <s v="Lake Brittneyland"/>
    <n v="45"/>
    <x v="0"/>
    <s v="High"/>
    <n v="18.760000000000002"/>
  </r>
  <r>
    <n v="25"/>
    <n v="3047"/>
    <n v="419"/>
    <s v="Electronics"/>
    <n v="4"/>
    <n v="144.08000000000001"/>
    <n v="0.28000000000000003"/>
    <d v="2024-02-24T01:14:50"/>
    <s v="Cash on Delivery"/>
    <s v="South John"/>
    <n v="38"/>
    <x v="2"/>
    <s v="High"/>
    <n v="33.4"/>
  </r>
  <r>
    <n v="26"/>
    <n v="3747"/>
    <n v="733"/>
    <s v="Sports"/>
    <n v="4"/>
    <n v="576.59"/>
    <n v="0.2"/>
    <d v="2024-03-04T09:18:55"/>
    <s v="Bank Transfer"/>
    <s v="New Devin"/>
    <n v="52"/>
    <x v="2"/>
    <s v="Low"/>
    <n v="21.91"/>
  </r>
  <r>
    <n v="27"/>
    <n v="1189"/>
    <n v="278"/>
    <s v="Electronics"/>
    <n v="3"/>
    <n v="954.41"/>
    <n v="0.11"/>
    <d v="2023-10-26T07:12:09"/>
    <s v="PayPal"/>
    <s v="Lake Denise"/>
    <n v="66"/>
    <x v="2"/>
    <s v="Low"/>
    <n v="81.489999999999995"/>
  </r>
  <r>
    <n v="28"/>
    <n v="3734"/>
    <n v="231"/>
    <s v="Home &amp; Kitchen"/>
    <n v="3"/>
    <n v="513.82000000000005"/>
    <n v="0.05"/>
    <d v="2024-08-04T12:39:59"/>
    <s v="Credit Card"/>
    <s v="South Susan"/>
    <n v="34"/>
    <x v="2"/>
    <s v="Low"/>
    <n v="77.27"/>
  </r>
  <r>
    <n v="29"/>
    <n v="4005"/>
    <n v="699"/>
    <s v="Sports"/>
    <n v="1"/>
    <n v="767.89"/>
    <n v="0.11"/>
    <d v="2024-05-06T01:39:20"/>
    <s v="Credit Card"/>
    <s v="Johnsonchester"/>
    <n v="52"/>
    <x v="1"/>
    <s v="High"/>
    <n v="26.78"/>
  </r>
  <r>
    <n v="30"/>
    <n v="5658"/>
    <n v="829"/>
    <s v="Beauty"/>
    <n v="4"/>
    <n v="653.79"/>
    <n v="0.01"/>
    <d v="2023-10-23T11:34:13"/>
    <s v="Cash on Delivery"/>
    <s v="Martinberg"/>
    <n v="68"/>
    <x v="0"/>
    <s v="Low"/>
    <n v="39.340000000000003"/>
  </r>
  <r>
    <n v="31"/>
    <n v="2899"/>
    <n v="299"/>
    <s v="Home &amp; Kitchen"/>
    <n v="1"/>
    <n v="361.67"/>
    <n v="0.06"/>
    <d v="2024-01-10T02:42:31"/>
    <s v="Credit Card"/>
    <s v="Lake Billy"/>
    <n v="23"/>
    <x v="1"/>
    <s v="Low"/>
    <n v="91.11"/>
  </r>
  <r>
    <n v="32"/>
    <n v="8734"/>
    <n v="706"/>
    <s v="Electronics"/>
    <n v="1"/>
    <n v="327.64"/>
    <n v="0.28000000000000003"/>
    <d v="2024-05-10T18:45:11"/>
    <s v="Credit Card"/>
    <s v="Josephborough"/>
    <n v="44"/>
    <x v="0"/>
    <s v="Medium"/>
    <n v="2.78"/>
  </r>
  <r>
    <n v="33"/>
    <n v="2267"/>
    <n v="693"/>
    <s v="Beauty"/>
    <n v="1"/>
    <n v="623.45000000000005"/>
    <n v="0.13"/>
    <d v="2024-06-26T03:10:11"/>
    <s v="PayPal"/>
    <s v="Noahbury"/>
    <n v="67"/>
    <x v="1"/>
    <s v="High"/>
    <n v="65.39"/>
  </r>
  <r>
    <n v="34"/>
    <n v="2528"/>
    <n v="544"/>
    <s v="Electronics"/>
    <n v="3"/>
    <n v="316.88"/>
    <n v="0.16"/>
    <d v="2023-09-16T17:22:21"/>
    <s v="Bank Transfer"/>
    <s v="Bowmanport"/>
    <n v="40"/>
    <x v="2"/>
    <s v="High"/>
    <n v="22.59"/>
  </r>
  <r>
    <n v="35"/>
    <n v="4556"/>
    <n v="773"/>
    <s v="Books"/>
    <n v="1"/>
    <n v="560.67999999999995"/>
    <n v="0.22"/>
    <d v="2023-11-18T18:04:26"/>
    <s v="Bank Transfer"/>
    <s v="South Melvinville"/>
    <n v="32"/>
    <x v="0"/>
    <s v="High"/>
    <n v="50.36"/>
  </r>
  <r>
    <n v="36"/>
    <n v="4890"/>
    <n v="414"/>
    <s v="Sports"/>
    <n v="3"/>
    <n v="423.86"/>
    <n v="0.26"/>
    <d v="2024-01-14T01:16:35"/>
    <s v="Cash on Delivery"/>
    <s v="East Brittany"/>
    <n v="67"/>
    <x v="2"/>
    <s v="Low"/>
    <n v="16.57"/>
  </r>
  <r>
    <n v="37"/>
    <n v="9838"/>
    <n v="900"/>
    <s v="Beauty"/>
    <n v="1"/>
    <n v="629.44000000000005"/>
    <n v="0.23"/>
    <d v="2023-11-12T01:30:26"/>
    <s v="Debit Card"/>
    <s v="Lake Stephaniefurt"/>
    <n v="42"/>
    <x v="1"/>
    <s v="High"/>
    <n v="97.39"/>
  </r>
  <r>
    <n v="38"/>
    <n v="6393"/>
    <n v="907"/>
    <s v="Books"/>
    <n v="1"/>
    <n v="330.09"/>
    <n v="0.21"/>
    <d v="2024-08-17T13:48:43"/>
    <s v="Credit Card"/>
    <s v="North Adam"/>
    <n v="37"/>
    <x v="1"/>
    <s v="High"/>
    <n v="1.59"/>
  </r>
  <r>
    <n v="39"/>
    <n v="9792"/>
    <n v="172"/>
    <s v="Electronics"/>
    <n v="4"/>
    <n v="862.67"/>
    <n v="0.01"/>
    <d v="2023-12-19T01:35:37"/>
    <s v="PayPal"/>
    <s v="Sancheztown"/>
    <n v="55"/>
    <x v="0"/>
    <s v="High"/>
    <n v="34.06"/>
  </r>
  <r>
    <n v="40"/>
    <n v="9433"/>
    <n v="951"/>
    <s v="Books"/>
    <n v="1"/>
    <n v="511.03"/>
    <n v="0.01"/>
    <d v="2023-11-20T20:28:37"/>
    <s v="Credit Card"/>
    <s v="Burtonmouth"/>
    <n v="40"/>
    <x v="2"/>
    <s v="Low"/>
    <n v="85.58"/>
  </r>
  <r>
    <n v="41"/>
    <n v="8513"/>
    <n v="907"/>
    <s v="Toys"/>
    <n v="2"/>
    <n v="42.59"/>
    <n v="0.06"/>
    <d v="2024-08-26T07:33:38"/>
    <s v="Cash on Delivery"/>
    <s v="Lake Josephmouth"/>
    <n v="68"/>
    <x v="2"/>
    <s v="Low"/>
    <n v="51.92"/>
  </r>
  <r>
    <n v="42"/>
    <n v="3612"/>
    <n v="785"/>
    <s v="Home &amp; Kitchen"/>
    <n v="3"/>
    <n v="143.9"/>
    <n v="0.09"/>
    <d v="2024-05-24T07:56:09"/>
    <s v="Debit Card"/>
    <s v="Clarkeville"/>
    <n v="41"/>
    <x v="1"/>
    <s v="Medium"/>
    <n v="57.88"/>
  </r>
  <r>
    <n v="43"/>
    <n v="8041"/>
    <n v="101"/>
    <s v="Clothing"/>
    <n v="3"/>
    <n v="202.28"/>
    <n v="0.11"/>
    <d v="2023-10-12T07:30:30"/>
    <s v="Cash on Delivery"/>
    <s v="Christopherside"/>
    <n v="57"/>
    <x v="2"/>
    <s v="Medium"/>
    <n v="39.869999999999997"/>
  </r>
  <r>
    <n v="44"/>
    <n v="7235"/>
    <n v="718"/>
    <s v="Beauty"/>
    <n v="3"/>
    <n v="108.93"/>
    <n v="0.12"/>
    <d v="2023-11-26T19:53:06"/>
    <s v="Debit Card"/>
    <s v="Deborahton"/>
    <n v="25"/>
    <x v="1"/>
    <s v="Medium"/>
    <n v="13.93"/>
  </r>
  <r>
    <n v="45"/>
    <n v="6486"/>
    <n v="778"/>
    <s v="Sports"/>
    <n v="4"/>
    <n v="176.51"/>
    <n v="0.01"/>
    <d v="2024-07-26T23:44:49"/>
    <s v="Debit Card"/>
    <s v="Ewingbury"/>
    <n v="53"/>
    <x v="0"/>
    <s v="Medium"/>
    <n v="46.24"/>
  </r>
  <r>
    <n v="46"/>
    <n v="8099"/>
    <n v="120"/>
    <s v="Sports"/>
    <n v="2"/>
    <n v="309.39"/>
    <n v="0.05"/>
    <d v="2024-05-27T01:53:06"/>
    <s v="Debit Card"/>
    <s v="Michelleborough"/>
    <n v="43"/>
    <x v="1"/>
    <s v="Low"/>
    <n v="68.94"/>
  </r>
  <r>
    <n v="47"/>
    <n v="1775"/>
    <n v="561"/>
    <s v="Sports"/>
    <n v="1"/>
    <n v="947.84"/>
    <n v="0.26"/>
    <d v="2023-09-24T06:40:27"/>
    <s v="Cash on Delivery"/>
    <s v="South Cathy"/>
    <n v="32"/>
    <x v="1"/>
    <s v="Low"/>
    <n v="37.53"/>
  </r>
  <r>
    <n v="48"/>
    <n v="9226"/>
    <n v="449"/>
    <s v="Toys"/>
    <n v="2"/>
    <n v="984.98"/>
    <n v="0.23"/>
    <d v="2023-09-11T13:03:06"/>
    <s v="Credit Card"/>
    <s v="Garciaburgh"/>
    <n v="58"/>
    <x v="1"/>
    <s v="High"/>
    <n v="0"/>
  </r>
  <r>
    <n v="49"/>
    <n v="4152"/>
    <n v="653"/>
    <s v="Sports"/>
    <n v="4"/>
    <n v="157.11000000000001"/>
    <n v="0.03"/>
    <d v="2024-06-08T03:49:08"/>
    <s v="Bank Transfer"/>
    <s v="Berryfort"/>
    <n v="64"/>
    <x v="1"/>
    <s v="Low"/>
    <n v="98.52"/>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49">
  <r>
    <n v="1"/>
    <n v="8270"/>
    <n v="295"/>
    <s v="Clothing"/>
    <n v="1"/>
    <n v="801.66"/>
    <n v="0.13"/>
    <d v="2023-12-22T10:35:26"/>
    <x v="0"/>
    <s v="New Juan"/>
    <n v="46"/>
    <s v="Female"/>
    <s v="Medium"/>
    <n v="83.36"/>
  </r>
  <r>
    <n v="2"/>
    <n v="1860"/>
    <n v="546"/>
    <s v="Beauty"/>
    <n v="1"/>
    <n v="225.03"/>
    <n v="0.06"/>
    <d v="2024-05-05T10:40:33"/>
    <x v="1"/>
    <s v="South Julie"/>
    <n v="59"/>
    <s v="Other"/>
    <s v="High"/>
    <n v="58.88"/>
  </r>
  <r>
    <n v="3"/>
    <n v="6390"/>
    <n v="430"/>
    <s v="Toys"/>
    <n v="2"/>
    <n v="544.99"/>
    <n v="0.24"/>
    <d v="2023-12-04T05:22:59"/>
    <x v="1"/>
    <s v="West Carrieview"/>
    <n v="61"/>
    <s v="Female"/>
    <s v="High"/>
    <n v="53.99"/>
  </r>
  <r>
    <n v="4"/>
    <n v="6191"/>
    <n v="807"/>
    <s v="Beauty"/>
    <n v="2"/>
    <n v="157.02000000000001"/>
    <n v="0.01"/>
    <d v="2024-01-02T11:11:00"/>
    <x v="2"/>
    <s v="Christianberg"/>
    <n v="69"/>
    <s v="Female"/>
    <s v="Low"/>
    <n v="-11.73"/>
  </r>
  <r>
    <n v="5"/>
    <n v="6734"/>
    <n v="319"/>
    <s v="Electronics"/>
    <n v="2"/>
    <n v="155.51"/>
    <n v="0.14000000000000001"/>
    <d v="2024-06-18T01:01:29"/>
    <x v="1"/>
    <s v="South Williamhaven"/>
    <n v="29"/>
    <s v="Other"/>
    <s v="High"/>
    <n v="-44.5"/>
  </r>
  <r>
    <n v="6"/>
    <n v="7265"/>
    <n v="282"/>
    <s v="Books"/>
    <n v="3"/>
    <n v="225.65"/>
    <n v="0.18"/>
    <d v="2024-03-06T06:15:28"/>
    <x v="2"/>
    <s v="Stephenfort"/>
    <n v="60"/>
    <s v="Male"/>
    <s v="High"/>
    <n v="25.78"/>
  </r>
  <r>
    <n v="7"/>
    <n v="1466"/>
    <n v="276"/>
    <s v="Beauty"/>
    <n v="3"/>
    <n v="631.96"/>
    <n v="0.09"/>
    <d v="2023-10-15T13:30:31"/>
    <x v="3"/>
    <s v="North Terristad"/>
    <n v="69"/>
    <s v="Male"/>
    <s v="Low"/>
    <n v="68.36"/>
  </r>
  <r>
    <n v="8"/>
    <n v="5426"/>
    <n v="574"/>
    <s v="Sports"/>
    <n v="1"/>
    <n v="522.87"/>
    <n v="0.28999999999999998"/>
    <d v="2024-05-16T01:46:00"/>
    <x v="0"/>
    <s v="Pachecotown"/>
    <n v="45"/>
    <s v="Female"/>
    <s v="High"/>
    <n v="19.23"/>
  </r>
  <r>
    <n v="9"/>
    <n v="6578"/>
    <n v="948"/>
    <s v="Books"/>
    <n v="4"/>
    <n v="202.66"/>
    <n v="0.12"/>
    <d v="2024-08-04T17:13:39"/>
    <x v="0"/>
    <s v="Port Philipberg"/>
    <n v="37"/>
    <s v="Male"/>
    <s v="Low"/>
    <n v="28.61"/>
  </r>
  <r>
    <n v="10"/>
    <n v="9322"/>
    <n v="459"/>
    <s v="Toys"/>
    <n v="3"/>
    <n v="401.52"/>
    <n v="0.23"/>
    <d v="2023-12-18T18:38:53"/>
    <x v="0"/>
    <s v="Jenniferfurt"/>
    <n v="67"/>
    <s v="Female"/>
    <s v="Low"/>
    <n v="35.18"/>
  </r>
  <r>
    <n v="11"/>
    <n v="2685"/>
    <n v="745"/>
    <s v="Clothing"/>
    <n v="3"/>
    <n v="346.31"/>
    <n v="0.06"/>
    <d v="2024-05-26T02:56:46"/>
    <x v="0"/>
    <s v="Lake Carolyn"/>
    <n v="36"/>
    <s v="Other"/>
    <s v="Low"/>
    <n v="76.819999999999993"/>
  </r>
  <r>
    <n v="12"/>
    <n v="1769"/>
    <n v="564"/>
    <s v="Sports"/>
    <n v="1"/>
    <n v="434.15"/>
    <n v="0.05"/>
    <d v="2023-09-26T05:18:30"/>
    <x v="2"/>
    <s v="Amandaborough"/>
    <n v="61"/>
    <s v="Other"/>
    <s v="High"/>
    <n v="26.24"/>
  </r>
  <r>
    <n v="13"/>
    <n v="7949"/>
    <n v="334"/>
    <s v="Electronics"/>
    <n v="3"/>
    <n v="189.87"/>
    <n v="0.25"/>
    <d v="2023-12-13T23:53:52"/>
    <x v="3"/>
    <s v="South Maria"/>
    <n v="65"/>
    <s v="Other"/>
    <s v="Low"/>
    <n v="39.909999999999997"/>
  </r>
  <r>
    <n v="14"/>
    <n v="3433"/>
    <n v="536"/>
    <s v="Home &amp; Kitchen"/>
    <n v="1"/>
    <n v="559.1"/>
    <n v="0.15"/>
    <d v="2023-12-02T07:44:27"/>
    <x v="1"/>
    <s v="West Marissa"/>
    <n v="35"/>
    <s v="Male"/>
    <s v="Low"/>
    <n v="69.39"/>
  </r>
  <r>
    <n v="15"/>
    <n v="6311"/>
    <n v="239"/>
    <s v="Toys"/>
    <n v="3"/>
    <n v="29.01"/>
    <n v="0.26"/>
    <d v="2024-03-01T17:49:13"/>
    <x v="0"/>
    <s v="Austinburgh"/>
    <n v="20"/>
    <s v="Other"/>
    <s v="High"/>
    <n v="10.33"/>
  </r>
  <r>
    <n v="16"/>
    <n v="6051"/>
    <n v="587"/>
    <s v="Toys"/>
    <n v="2"/>
    <n v="541.5"/>
    <n v="0.22"/>
    <d v="2024-08-12T12:13:05"/>
    <x v="2"/>
    <s v="Lake Jesse"/>
    <n v="46"/>
    <s v="Other"/>
    <s v="Low"/>
    <n v="41.77"/>
  </r>
  <r>
    <n v="17"/>
    <n v="7420"/>
    <n v="868"/>
    <s v="Beauty"/>
    <n v="4"/>
    <n v="218.68"/>
    <n v="0.19"/>
    <d v="2024-07-24T08:49:00"/>
    <x v="3"/>
    <s v="Marioburgh"/>
    <n v="21"/>
    <s v="Other"/>
    <s v="Medium"/>
    <n v="9.93"/>
  </r>
  <r>
    <n v="18"/>
    <n v="2184"/>
    <n v="384"/>
    <s v="Clothing"/>
    <n v="2"/>
    <n v="439.07"/>
    <n v="0.26"/>
    <d v="2024-06-14T18:03:29"/>
    <x v="4"/>
    <s v="Ryanhaven"/>
    <n v="23"/>
    <s v="Other"/>
    <s v="Medium"/>
    <n v="97.73"/>
  </r>
  <r>
    <n v="19"/>
    <n v="5555"/>
    <n v="701"/>
    <s v="Books"/>
    <n v="4"/>
    <n v="849.82"/>
    <n v="0.12"/>
    <d v="2024-03-02T05:18:42"/>
    <x v="0"/>
    <s v="Dickersonmouth"/>
    <n v="52"/>
    <s v="Female"/>
    <s v="Low"/>
    <n v="54.32"/>
  </r>
  <r>
    <n v="20"/>
    <n v="4385"/>
    <n v="427"/>
    <s v="Electronics"/>
    <n v="1"/>
    <n v="886.69"/>
    <n v="0.28000000000000003"/>
    <d v="2024-05-19T13:22:45"/>
    <x v="1"/>
    <s v="Annaborough"/>
    <n v="46"/>
    <s v="Other"/>
    <s v="Low"/>
    <n v="57.35"/>
  </r>
  <r>
    <n v="21"/>
    <n v="7396"/>
    <n v="150"/>
    <s v="Toys"/>
    <n v="2"/>
    <n v="137.79"/>
    <n v="0.04"/>
    <d v="2024-05-13T10:04:09"/>
    <x v="3"/>
    <s v="Ramirezburgh"/>
    <n v="60"/>
    <s v="Male"/>
    <s v="Medium"/>
    <n v="41.08"/>
  </r>
  <r>
    <n v="22"/>
    <n v="9666"/>
    <n v="797"/>
    <s v="Electronics"/>
    <n v="4"/>
    <n v="6.58"/>
    <n v="0.04"/>
    <d v="2024-04-05T20:50:36"/>
    <x v="4"/>
    <s v="Sextonberg"/>
    <n v="54"/>
    <s v="Female"/>
    <s v="Medium"/>
    <n v="88.02"/>
  </r>
  <r>
    <n v="23"/>
    <n v="3558"/>
    <n v="577"/>
    <s v="Toys"/>
    <n v="3"/>
    <n v="888.2"/>
    <n v="0.04"/>
    <d v="2023-11-17T05:30:14"/>
    <x v="0"/>
    <s v="Beasleyshire"/>
    <n v="29"/>
    <s v="Other"/>
    <s v="Medium"/>
    <n v="67.510000000000005"/>
  </r>
  <r>
    <n v="24"/>
    <n v="8849"/>
    <n v="385"/>
    <s v="Toys"/>
    <n v="4"/>
    <n v="109.35"/>
    <n v="0.15"/>
    <d v="2024-08-05T14:07:57"/>
    <x v="1"/>
    <s v="Lake Brittneyland"/>
    <n v="45"/>
    <s v="Female"/>
    <s v="High"/>
    <n v="18.760000000000002"/>
  </r>
  <r>
    <n v="25"/>
    <n v="3047"/>
    <n v="419"/>
    <s v="Electronics"/>
    <n v="4"/>
    <n v="144.08000000000001"/>
    <n v="0.28000000000000003"/>
    <d v="2024-02-24T01:14:50"/>
    <x v="0"/>
    <s v="South John"/>
    <n v="38"/>
    <s v="Male"/>
    <s v="High"/>
    <n v="33.4"/>
  </r>
  <r>
    <n v="26"/>
    <n v="3747"/>
    <n v="733"/>
    <s v="Sports"/>
    <n v="4"/>
    <n v="576.59"/>
    <n v="0.2"/>
    <d v="2024-03-04T09:18:55"/>
    <x v="2"/>
    <s v="New Devin"/>
    <n v="52"/>
    <s v="Male"/>
    <s v="Low"/>
    <n v="21.91"/>
  </r>
  <r>
    <n v="27"/>
    <n v="1189"/>
    <n v="278"/>
    <s v="Electronics"/>
    <n v="3"/>
    <n v="954.41"/>
    <n v="0.11"/>
    <d v="2023-10-26T07:12:09"/>
    <x v="4"/>
    <s v="Lake Denise"/>
    <n v="66"/>
    <s v="Male"/>
    <s v="Low"/>
    <n v="81.489999999999995"/>
  </r>
  <r>
    <n v="28"/>
    <n v="3734"/>
    <n v="231"/>
    <s v="Home &amp; Kitchen"/>
    <n v="3"/>
    <n v="513.82000000000005"/>
    <n v="0.05"/>
    <d v="2024-08-04T12:39:59"/>
    <x v="3"/>
    <s v="South Susan"/>
    <n v="34"/>
    <s v="Male"/>
    <s v="Low"/>
    <n v="77.27"/>
  </r>
  <r>
    <n v="29"/>
    <n v="4005"/>
    <n v="699"/>
    <s v="Sports"/>
    <n v="1"/>
    <n v="767.89"/>
    <n v="0.11"/>
    <d v="2024-05-06T01:39:20"/>
    <x v="3"/>
    <s v="Johnsonchester"/>
    <n v="52"/>
    <s v="Other"/>
    <s v="High"/>
    <n v="26.78"/>
  </r>
  <r>
    <n v="30"/>
    <n v="5658"/>
    <n v="829"/>
    <s v="Beauty"/>
    <n v="4"/>
    <n v="653.79"/>
    <n v="0.01"/>
    <d v="2023-10-23T11:34:13"/>
    <x v="0"/>
    <s v="Martinberg"/>
    <n v="68"/>
    <s v="Female"/>
    <s v="Low"/>
    <n v="39.340000000000003"/>
  </r>
  <r>
    <n v="31"/>
    <n v="2899"/>
    <n v="299"/>
    <s v="Home &amp; Kitchen"/>
    <n v="1"/>
    <n v="361.67"/>
    <n v="0.06"/>
    <d v="2024-01-10T02:42:31"/>
    <x v="3"/>
    <s v="Lake Billy"/>
    <n v="23"/>
    <s v="Other"/>
    <s v="Low"/>
    <n v="91.11"/>
  </r>
  <r>
    <n v="32"/>
    <n v="8734"/>
    <n v="706"/>
    <s v="Electronics"/>
    <n v="1"/>
    <n v="327.64"/>
    <n v="0.28000000000000003"/>
    <d v="2024-05-10T18:45:11"/>
    <x v="3"/>
    <s v="Josephborough"/>
    <n v="44"/>
    <s v="Female"/>
    <s v="Medium"/>
    <n v="2.78"/>
  </r>
  <r>
    <n v="33"/>
    <n v="2267"/>
    <n v="693"/>
    <s v="Beauty"/>
    <n v="1"/>
    <n v="623.45000000000005"/>
    <n v="0.13"/>
    <d v="2024-06-26T03:10:11"/>
    <x v="4"/>
    <s v="Noahbury"/>
    <n v="67"/>
    <s v="Other"/>
    <s v="High"/>
    <n v="65.39"/>
  </r>
  <r>
    <n v="34"/>
    <n v="2528"/>
    <n v="544"/>
    <s v="Electronics"/>
    <n v="3"/>
    <n v="316.88"/>
    <n v="0.16"/>
    <d v="2023-09-16T17:22:21"/>
    <x v="2"/>
    <s v="Bowmanport"/>
    <n v="40"/>
    <s v="Male"/>
    <s v="High"/>
    <n v="22.59"/>
  </r>
  <r>
    <n v="35"/>
    <n v="4556"/>
    <n v="773"/>
    <s v="Books"/>
    <n v="1"/>
    <n v="560.67999999999995"/>
    <n v="0.22"/>
    <d v="2023-11-18T18:04:26"/>
    <x v="2"/>
    <s v="South Melvinville"/>
    <n v="32"/>
    <s v="Female"/>
    <s v="High"/>
    <n v="50.36"/>
  </r>
  <r>
    <n v="36"/>
    <n v="4890"/>
    <n v="414"/>
    <s v="Sports"/>
    <n v="3"/>
    <n v="423.86"/>
    <n v="0.26"/>
    <d v="2024-01-14T01:16:35"/>
    <x v="0"/>
    <s v="East Brittany"/>
    <n v="67"/>
    <s v="Male"/>
    <s v="Low"/>
    <n v="16.57"/>
  </r>
  <r>
    <n v="37"/>
    <n v="9838"/>
    <n v="900"/>
    <s v="Beauty"/>
    <n v="1"/>
    <n v="629.44000000000005"/>
    <n v="0.23"/>
    <d v="2023-11-12T01:30:26"/>
    <x v="1"/>
    <s v="Lake Stephaniefurt"/>
    <n v="42"/>
    <s v="Other"/>
    <s v="High"/>
    <n v="97.39"/>
  </r>
  <r>
    <n v="38"/>
    <n v="6393"/>
    <n v="907"/>
    <s v="Books"/>
    <n v="1"/>
    <n v="330.09"/>
    <n v="0.21"/>
    <d v="2024-08-17T13:48:43"/>
    <x v="3"/>
    <s v="North Adam"/>
    <n v="37"/>
    <s v="Other"/>
    <s v="High"/>
    <n v="1.59"/>
  </r>
  <r>
    <n v="39"/>
    <n v="9792"/>
    <n v="172"/>
    <s v="Electronics"/>
    <n v="4"/>
    <n v="862.67"/>
    <n v="0.01"/>
    <d v="2023-12-19T01:35:37"/>
    <x v="4"/>
    <s v="Sancheztown"/>
    <n v="55"/>
    <s v="Female"/>
    <s v="High"/>
    <n v="34.06"/>
  </r>
  <r>
    <n v="40"/>
    <n v="9433"/>
    <n v="951"/>
    <s v="Books"/>
    <n v="1"/>
    <n v="511.03"/>
    <n v="0.01"/>
    <d v="2023-11-20T20:28:37"/>
    <x v="3"/>
    <s v="Burtonmouth"/>
    <n v="40"/>
    <s v="Male"/>
    <s v="Low"/>
    <n v="85.58"/>
  </r>
  <r>
    <n v="41"/>
    <n v="8513"/>
    <n v="907"/>
    <s v="Toys"/>
    <n v="2"/>
    <n v="42.59"/>
    <n v="0.06"/>
    <d v="2024-08-26T07:33:38"/>
    <x v="0"/>
    <s v="Lake Josephmouth"/>
    <n v="68"/>
    <s v="Male"/>
    <s v="Low"/>
    <n v="51.92"/>
  </r>
  <r>
    <n v="42"/>
    <n v="3612"/>
    <n v="785"/>
    <s v="Home &amp; Kitchen"/>
    <n v="3"/>
    <n v="143.9"/>
    <n v="0.09"/>
    <d v="2024-05-24T07:56:09"/>
    <x v="1"/>
    <s v="Clarkeville"/>
    <n v="41"/>
    <s v="Other"/>
    <s v="Medium"/>
    <n v="57.88"/>
  </r>
  <r>
    <n v="43"/>
    <n v="8041"/>
    <n v="101"/>
    <s v="Clothing"/>
    <n v="3"/>
    <n v="202.28"/>
    <n v="0.11"/>
    <d v="2023-10-12T07:30:30"/>
    <x v="0"/>
    <s v="Christopherside"/>
    <n v="57"/>
    <s v="Male"/>
    <s v="Medium"/>
    <n v="39.869999999999997"/>
  </r>
  <r>
    <n v="44"/>
    <n v="7235"/>
    <n v="718"/>
    <s v="Beauty"/>
    <n v="3"/>
    <n v="108.93"/>
    <n v="0.12"/>
    <d v="2023-11-26T19:53:06"/>
    <x v="1"/>
    <s v="Deborahton"/>
    <n v="25"/>
    <s v="Other"/>
    <s v="Medium"/>
    <n v="13.93"/>
  </r>
  <r>
    <n v="45"/>
    <n v="6486"/>
    <n v="778"/>
    <s v="Sports"/>
    <n v="4"/>
    <n v="176.51"/>
    <n v="0.01"/>
    <d v="2024-07-26T23:44:49"/>
    <x v="1"/>
    <s v="Ewingbury"/>
    <n v="53"/>
    <s v="Female"/>
    <s v="Medium"/>
    <n v="46.24"/>
  </r>
  <r>
    <n v="46"/>
    <n v="8099"/>
    <n v="120"/>
    <s v="Sports"/>
    <n v="2"/>
    <n v="309.39"/>
    <n v="0.05"/>
    <d v="2024-05-27T01:53:06"/>
    <x v="1"/>
    <s v="Michelleborough"/>
    <n v="43"/>
    <s v="Other"/>
    <s v="Low"/>
    <n v="68.94"/>
  </r>
  <r>
    <n v="47"/>
    <n v="1775"/>
    <n v="561"/>
    <s v="Sports"/>
    <n v="1"/>
    <n v="947.84"/>
    <n v="0.26"/>
    <d v="2023-09-24T06:40:27"/>
    <x v="0"/>
    <s v="South Cathy"/>
    <n v="32"/>
    <s v="Other"/>
    <s v="Low"/>
    <n v="37.53"/>
  </r>
  <r>
    <n v="48"/>
    <n v="9226"/>
    <n v="449"/>
    <s v="Toys"/>
    <n v="2"/>
    <n v="984.98"/>
    <n v="0.23"/>
    <d v="2023-09-11T13:03:06"/>
    <x v="3"/>
    <s v="Garciaburgh"/>
    <n v="58"/>
    <s v="Other"/>
    <s v="High"/>
    <n v="0"/>
  </r>
  <r>
    <n v="49"/>
    <n v="4152"/>
    <n v="653"/>
    <s v="Sports"/>
    <n v="4"/>
    <n v="157.11000000000001"/>
    <n v="0.03"/>
    <d v="2024-06-08T03:49:08"/>
    <x v="2"/>
    <s v="Berryfort"/>
    <n v="64"/>
    <s v="Other"/>
    <s v="Low"/>
    <n v="98.52"/>
  </r>
</pivotCacheRecords>
</file>

<file path=xl/pivotCache/pivotCacheRecords3.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49">
  <r>
    <n v="1"/>
    <n v="8270"/>
    <n v="295"/>
    <x v="0"/>
    <x v="0"/>
    <n v="801.66"/>
    <n v="0.13"/>
    <x v="0"/>
    <x v="0"/>
    <s v="New Juan"/>
    <n v="46"/>
    <x v="0"/>
    <s v="Medium"/>
    <n v="83.36"/>
    <n v="5"/>
    <x v="0"/>
    <n v="5200"/>
    <n v="800"/>
  </r>
  <r>
    <n v="2"/>
    <n v="1860"/>
    <n v="546"/>
    <x v="1"/>
    <x v="0"/>
    <n v="225.03"/>
    <n v="0.06"/>
    <x v="1"/>
    <x v="1"/>
    <s v="South Julie"/>
    <n v="59"/>
    <x v="1"/>
    <s v="High"/>
    <n v="58.88"/>
    <n v="5"/>
    <x v="1"/>
    <n v="3400"/>
    <n v="450"/>
  </r>
  <r>
    <n v="3"/>
    <n v="6390"/>
    <n v="430"/>
    <x v="2"/>
    <x v="1"/>
    <n v="544.99"/>
    <n v="0.24"/>
    <x v="2"/>
    <x v="1"/>
    <s v="West Carrieview"/>
    <n v="61"/>
    <x v="0"/>
    <s v="High"/>
    <n v="53.99"/>
    <n v="5"/>
    <x v="2"/>
    <n v="6100"/>
    <n v="1200"/>
  </r>
  <r>
    <n v="4"/>
    <n v="6191"/>
    <n v="807"/>
    <x v="1"/>
    <x v="1"/>
    <n v="157.02000000000001"/>
    <n v="0.01"/>
    <x v="3"/>
    <x v="2"/>
    <s v="Christianberg"/>
    <n v="69"/>
    <x v="0"/>
    <s v="Low"/>
    <n v="-11.73"/>
    <n v="5"/>
    <x v="3"/>
    <n v="2800"/>
    <n v="-100"/>
  </r>
  <r>
    <n v="5"/>
    <n v="6734"/>
    <n v="319"/>
    <x v="3"/>
    <x v="1"/>
    <n v="155.51"/>
    <n v="0.14000000000000001"/>
    <x v="4"/>
    <x v="1"/>
    <s v="South Williamhaven"/>
    <n v="29"/>
    <x v="1"/>
    <s v="High"/>
    <n v="-44.5"/>
    <n v="5"/>
    <x v="0"/>
    <n v="7500"/>
    <n v="1800"/>
  </r>
  <r>
    <n v="6"/>
    <n v="7265"/>
    <n v="282"/>
    <x v="4"/>
    <x v="2"/>
    <n v="225.65"/>
    <n v="0.18"/>
    <x v="5"/>
    <x v="2"/>
    <s v="Stephenfort"/>
    <n v="60"/>
    <x v="2"/>
    <s v="High"/>
    <n v="25.78"/>
    <n v="5"/>
    <x v="1"/>
    <n v="4100"/>
    <n v="600"/>
  </r>
  <r>
    <n v="7"/>
    <n v="1466"/>
    <n v="276"/>
    <x v="1"/>
    <x v="2"/>
    <n v="631.96"/>
    <n v="0.09"/>
    <x v="6"/>
    <x v="3"/>
    <s v="North Terristad"/>
    <n v="69"/>
    <x v="2"/>
    <s v="Low"/>
    <n v="68.36"/>
    <n v="5"/>
    <x v="2"/>
    <n v="3200"/>
    <n v="300"/>
  </r>
  <r>
    <n v="8"/>
    <n v="5426"/>
    <n v="574"/>
    <x v="5"/>
    <x v="0"/>
    <n v="522.87"/>
    <n v="0.28999999999999998"/>
    <x v="7"/>
    <x v="0"/>
    <s v="Pachecotown"/>
    <n v="45"/>
    <x v="0"/>
    <s v="High"/>
    <n v="19.23"/>
    <n v="4"/>
    <x v="3"/>
    <n v="5600"/>
    <n v="950"/>
  </r>
  <r>
    <n v="9"/>
    <n v="6578"/>
    <n v="948"/>
    <x v="4"/>
    <x v="3"/>
    <n v="202.66"/>
    <n v="0.12"/>
    <x v="8"/>
    <x v="0"/>
    <s v="Port Philipberg"/>
    <n v="37"/>
    <x v="2"/>
    <s v="Low"/>
    <n v="28.61"/>
    <n v="5"/>
    <x v="0"/>
    <n v="4900"/>
    <n v="700"/>
  </r>
  <r>
    <n v="10"/>
    <n v="9322"/>
    <n v="459"/>
    <x v="2"/>
    <x v="2"/>
    <n v="401.52"/>
    <n v="0.23"/>
    <x v="9"/>
    <x v="0"/>
    <s v="Jenniferfurt"/>
    <n v="67"/>
    <x v="0"/>
    <s v="Low"/>
    <n v="35.18"/>
    <n v="5"/>
    <x v="1"/>
    <n v="2200"/>
    <n v="-50"/>
  </r>
  <r>
    <n v="11"/>
    <n v="2685"/>
    <n v="745"/>
    <x v="0"/>
    <x v="2"/>
    <n v="346.31"/>
    <n v="0.06"/>
    <x v="10"/>
    <x v="0"/>
    <s v="Lake Carolyn"/>
    <n v="36"/>
    <x v="1"/>
    <s v="Low"/>
    <n v="76.819999999999993"/>
    <n v="5"/>
    <x v="2"/>
    <n v="6800"/>
    <n v="1400"/>
  </r>
  <r>
    <n v="12"/>
    <n v="1769"/>
    <n v="564"/>
    <x v="5"/>
    <x v="0"/>
    <n v="434.15"/>
    <n v="0.05"/>
    <x v="11"/>
    <x v="2"/>
    <s v="Amandaborough"/>
    <n v="61"/>
    <x v="1"/>
    <s v="High"/>
    <n v="26.24"/>
    <n v="5"/>
    <x v="3"/>
    <n v="3700"/>
    <n v="500"/>
  </r>
  <r>
    <n v="13"/>
    <n v="7949"/>
    <n v="334"/>
    <x v="3"/>
    <x v="2"/>
    <n v="189.87"/>
    <n v="0.25"/>
    <x v="12"/>
    <x v="3"/>
    <s v="South Maria"/>
    <n v="65"/>
    <x v="1"/>
    <s v="Low"/>
    <n v="39.909999999999997"/>
    <n v="5"/>
    <x v="0"/>
    <n v="8100"/>
    <n v="2200"/>
  </r>
  <r>
    <n v="14"/>
    <n v="3433"/>
    <n v="536"/>
    <x v="6"/>
    <x v="0"/>
    <n v="559.1"/>
    <n v="0.15"/>
    <x v="13"/>
    <x v="1"/>
    <s v="West Marissa"/>
    <n v="35"/>
    <x v="2"/>
    <s v="Low"/>
    <n v="69.39"/>
    <n v="5"/>
    <x v="1"/>
    <n v="4600"/>
    <n v="650"/>
  </r>
  <r>
    <n v="15"/>
    <n v="6311"/>
    <n v="239"/>
    <x v="2"/>
    <x v="2"/>
    <n v="29.01"/>
    <n v="0.26"/>
    <x v="14"/>
    <x v="0"/>
    <s v="Austinburgh"/>
    <n v="20"/>
    <x v="1"/>
    <s v="High"/>
    <n v="10.33"/>
    <n v="5"/>
    <x v="2"/>
    <n v="2900"/>
    <n v="250"/>
  </r>
  <r>
    <n v="16"/>
    <n v="6051"/>
    <n v="587"/>
    <x v="2"/>
    <x v="1"/>
    <n v="541.5"/>
    <n v="0.22"/>
    <x v="15"/>
    <x v="2"/>
    <s v="Lake Jesse"/>
    <n v="46"/>
    <x v="1"/>
    <s v="Low"/>
    <n v="41.77"/>
    <n v="5"/>
    <x v="3"/>
    <n v="6200"/>
    <n v="1100"/>
  </r>
  <r>
    <n v="17"/>
    <n v="7420"/>
    <n v="868"/>
    <x v="1"/>
    <x v="3"/>
    <n v="218.68"/>
    <n v="0.19"/>
    <x v="16"/>
    <x v="3"/>
    <s v="Marioburgh"/>
    <n v="21"/>
    <x v="1"/>
    <s v="Medium"/>
    <n v="9.93"/>
    <n v="5"/>
    <x v="0"/>
    <n v="5300"/>
    <n v="850"/>
  </r>
  <r>
    <n v="18"/>
    <n v="2184"/>
    <n v="384"/>
    <x v="0"/>
    <x v="1"/>
    <n v="439.07"/>
    <n v="0.26"/>
    <x v="17"/>
    <x v="4"/>
    <s v="Ryanhaven"/>
    <n v="23"/>
    <x v="1"/>
    <s v="Medium"/>
    <n v="97.73"/>
    <n v="5"/>
    <x v="1"/>
    <n v="3100"/>
    <n v="400"/>
  </r>
  <r>
    <n v="19"/>
    <n v="5555"/>
    <n v="701"/>
    <x v="4"/>
    <x v="3"/>
    <n v="849.82"/>
    <n v="0.12"/>
    <x v="18"/>
    <x v="0"/>
    <s v="Dickersonmouth"/>
    <n v="52"/>
    <x v="0"/>
    <s v="Low"/>
    <n v="54.32"/>
    <n v="5"/>
    <x v="2"/>
    <n v="7200"/>
    <n v="1600"/>
  </r>
  <r>
    <n v="20"/>
    <n v="4385"/>
    <n v="427"/>
    <x v="3"/>
    <x v="0"/>
    <n v="886.69"/>
    <n v="0.28000000000000003"/>
    <x v="19"/>
    <x v="1"/>
    <s v="Annaborough"/>
    <n v="46"/>
    <x v="1"/>
    <s v="Low"/>
    <n v="57.35"/>
    <n v="5"/>
    <x v="3"/>
    <n v="4300"/>
    <n v="550"/>
  </r>
  <r>
    <n v="21"/>
    <n v="7396"/>
    <n v="150"/>
    <x v="2"/>
    <x v="1"/>
    <n v="137.79"/>
    <n v="0.04"/>
    <x v="20"/>
    <x v="3"/>
    <s v="Ramirezburgh"/>
    <n v="60"/>
    <x v="2"/>
    <s v="Medium"/>
    <n v="41.08"/>
    <n v="5"/>
    <x v="0"/>
    <n v="6700"/>
    <n v="1300"/>
  </r>
  <r>
    <n v="22"/>
    <n v="9666"/>
    <n v="797"/>
    <x v="3"/>
    <x v="3"/>
    <n v="6.58"/>
    <n v="0.04"/>
    <x v="21"/>
    <x v="4"/>
    <s v="Sextonberg"/>
    <n v="54"/>
    <x v="0"/>
    <s v="Medium"/>
    <n v="88.02"/>
    <n v="5"/>
    <x v="1"/>
    <n v="2500"/>
    <n v="150"/>
  </r>
  <r>
    <n v="23"/>
    <n v="3558"/>
    <n v="577"/>
    <x v="2"/>
    <x v="2"/>
    <n v="888.2"/>
    <n v="0.04"/>
    <x v="22"/>
    <x v="0"/>
    <s v="Beasleyshire"/>
    <n v="29"/>
    <x v="1"/>
    <s v="Medium"/>
    <n v="67.510000000000005"/>
    <n v="5"/>
    <x v="2"/>
    <n v="5800"/>
    <n v="900"/>
  </r>
  <r>
    <n v="24"/>
    <n v="8849"/>
    <n v="385"/>
    <x v="2"/>
    <x v="3"/>
    <n v="109.35"/>
    <n v="0.15"/>
    <x v="23"/>
    <x v="1"/>
    <s v="Lake Brittneyland"/>
    <n v="45"/>
    <x v="0"/>
    <s v="High"/>
    <n v="18.760000000000002"/>
    <n v="5"/>
    <x v="3"/>
    <n v="3900"/>
    <n v="0"/>
  </r>
  <r>
    <n v="25"/>
    <n v="3047"/>
    <n v="419"/>
    <x v="3"/>
    <x v="3"/>
    <n v="144.08000000000001"/>
    <n v="0.28000000000000003"/>
    <x v="24"/>
    <x v="0"/>
    <s v="South John"/>
    <n v="38"/>
    <x v="2"/>
    <s v="High"/>
    <n v="33.4"/>
    <n v="5"/>
    <x v="0"/>
    <n v="8400"/>
    <n v="2500"/>
  </r>
  <r>
    <n v="26"/>
    <n v="3747"/>
    <n v="733"/>
    <x v="5"/>
    <x v="3"/>
    <n v="576.59"/>
    <n v="0.2"/>
    <x v="25"/>
    <x v="2"/>
    <s v="New Devin"/>
    <n v="52"/>
    <x v="2"/>
    <s v="Low"/>
    <n v="21.91"/>
    <n v="5"/>
    <x v="1"/>
    <n v="4700"/>
    <n v="700"/>
  </r>
  <r>
    <n v="27"/>
    <n v="1189"/>
    <n v="278"/>
    <x v="3"/>
    <x v="2"/>
    <n v="954.41"/>
    <n v="0.11"/>
    <x v="26"/>
    <x v="4"/>
    <s v="Lake Denise"/>
    <n v="66"/>
    <x v="2"/>
    <s v="Low"/>
    <n v="81.489999999999995"/>
    <n v="5"/>
    <x v="2"/>
    <n v="3400"/>
    <n v="350"/>
  </r>
  <r>
    <n v="28"/>
    <n v="3734"/>
    <n v="231"/>
    <x v="6"/>
    <x v="2"/>
    <n v="513.82000000000005"/>
    <n v="0.05"/>
    <x v="27"/>
    <x v="3"/>
    <s v="South Susan"/>
    <n v="34"/>
    <x v="2"/>
    <s v="Low"/>
    <n v="77.27"/>
    <n v="5"/>
    <x v="3"/>
    <n v="6500"/>
    <n v="1250"/>
  </r>
  <r>
    <n v="29"/>
    <n v="4005"/>
    <n v="699"/>
    <x v="5"/>
    <x v="0"/>
    <n v="767.89"/>
    <n v="0.11"/>
    <x v="28"/>
    <x v="3"/>
    <s v="Johnsonchester"/>
    <n v="52"/>
    <x v="1"/>
    <s v="High"/>
    <n v="26.78"/>
    <n v="5"/>
    <x v="0"/>
    <n v="5600"/>
    <n v="950"/>
  </r>
  <r>
    <n v="30"/>
    <n v="5658"/>
    <n v="829"/>
    <x v="1"/>
    <x v="3"/>
    <n v="653.79"/>
    <n v="0.01"/>
    <x v="29"/>
    <x v="0"/>
    <s v="Martinberg"/>
    <n v="68"/>
    <x v="0"/>
    <s v="Low"/>
    <n v="39.340000000000003"/>
    <n v="5"/>
    <x v="1"/>
    <n v="2800"/>
    <n v="200"/>
  </r>
  <r>
    <n v="31"/>
    <n v="2899"/>
    <n v="299"/>
    <x v="6"/>
    <x v="0"/>
    <n v="361.67"/>
    <n v="0.06"/>
    <x v="30"/>
    <x v="3"/>
    <s v="Lake Billy"/>
    <n v="23"/>
    <x v="1"/>
    <s v="Low"/>
    <n v="91.11"/>
    <n v="5"/>
    <x v="2"/>
    <n v="7700"/>
    <n v="1800"/>
  </r>
  <r>
    <n v="32"/>
    <n v="8734"/>
    <n v="706"/>
    <x v="3"/>
    <x v="0"/>
    <n v="327.64"/>
    <n v="0.28000000000000003"/>
    <x v="31"/>
    <x v="3"/>
    <s v="Josephborough"/>
    <n v="44"/>
    <x v="0"/>
    <s v="Medium"/>
    <n v="2.78"/>
    <n v="5"/>
    <x v="3"/>
    <n v="4500"/>
    <n v="600"/>
  </r>
  <r>
    <n v="33"/>
    <n v="2267"/>
    <n v="693"/>
    <x v="1"/>
    <x v="0"/>
    <n v="623.45000000000005"/>
    <n v="0.13"/>
    <x v="32"/>
    <x v="4"/>
    <s v="Noahbury"/>
    <n v="67"/>
    <x v="1"/>
    <s v="High"/>
    <n v="65.39"/>
    <n v="5"/>
    <x v="0"/>
    <n v="6100"/>
    <n v="1100"/>
  </r>
  <r>
    <n v="34"/>
    <n v="2528"/>
    <n v="544"/>
    <x v="3"/>
    <x v="2"/>
    <n v="316.88"/>
    <n v="0.16"/>
    <x v="33"/>
    <x v="2"/>
    <s v="Bowmanport"/>
    <n v="40"/>
    <x v="2"/>
    <s v="High"/>
    <n v="22.59"/>
    <n v="5"/>
    <x v="1"/>
    <n v="3600"/>
    <n v="500"/>
  </r>
  <r>
    <n v="35"/>
    <n v="4556"/>
    <n v="773"/>
    <x v="4"/>
    <x v="0"/>
    <n v="560.67999999999995"/>
    <n v="0.22"/>
    <x v="34"/>
    <x v="2"/>
    <s v="South Melvinville"/>
    <n v="32"/>
    <x v="0"/>
    <s v="High"/>
    <n v="50.36"/>
    <n v="5"/>
    <x v="2"/>
    <n v="4900"/>
    <n v="750"/>
  </r>
  <r>
    <n v="36"/>
    <n v="4890"/>
    <n v="414"/>
    <x v="5"/>
    <x v="2"/>
    <n v="423.86"/>
    <n v="0.26"/>
    <x v="35"/>
    <x v="0"/>
    <s v="East Brittany"/>
    <n v="67"/>
    <x v="2"/>
    <s v="Low"/>
    <n v="16.57"/>
    <n v="5"/>
    <x v="3"/>
    <n v="7000"/>
    <n v="1500"/>
  </r>
  <r>
    <n v="37"/>
    <n v="9838"/>
    <n v="900"/>
    <x v="1"/>
    <x v="0"/>
    <n v="629.44000000000005"/>
    <n v="0.23"/>
    <x v="36"/>
    <x v="1"/>
    <s v="Lake Stephaniefurt"/>
    <n v="42"/>
    <x v="1"/>
    <s v="High"/>
    <n v="97.39"/>
    <n v="5"/>
    <x v="0"/>
    <n v="3200"/>
    <n v="300"/>
  </r>
  <r>
    <n v="38"/>
    <n v="6393"/>
    <n v="907"/>
    <x v="4"/>
    <x v="0"/>
    <n v="330.09"/>
    <n v="0.21"/>
    <x v="37"/>
    <x v="3"/>
    <s v="North Adam"/>
    <n v="37"/>
    <x v="1"/>
    <s v="High"/>
    <n v="1.59"/>
    <n v="5"/>
    <x v="1"/>
    <n v="5400"/>
    <n v="850"/>
  </r>
  <r>
    <n v="39"/>
    <n v="9792"/>
    <n v="172"/>
    <x v="3"/>
    <x v="3"/>
    <n v="862.67"/>
    <n v="0.01"/>
    <x v="38"/>
    <x v="4"/>
    <s v="Sancheztown"/>
    <n v="55"/>
    <x v="0"/>
    <s v="High"/>
    <n v="34.06"/>
    <n v="5"/>
    <x v="2"/>
    <n v="2600"/>
    <n v="120"/>
  </r>
  <r>
    <n v="40"/>
    <n v="9433"/>
    <n v="951"/>
    <x v="4"/>
    <x v="0"/>
    <n v="511.03"/>
    <n v="0.01"/>
    <x v="39"/>
    <x v="3"/>
    <s v="Burtonmouth"/>
    <n v="40"/>
    <x v="2"/>
    <s v="Low"/>
    <n v="85.58"/>
    <n v="5"/>
    <x v="3"/>
    <n v="5900"/>
    <n v="1000"/>
  </r>
  <r>
    <n v="41"/>
    <n v="8513"/>
    <n v="907"/>
    <x v="2"/>
    <x v="1"/>
    <n v="42.59"/>
    <n v="0.06"/>
    <x v="40"/>
    <x v="0"/>
    <s v="Lake Josephmouth"/>
    <n v="68"/>
    <x v="2"/>
    <s v="Low"/>
    <n v="51.92"/>
    <n v="5"/>
    <x v="0"/>
    <n v="7300"/>
    <n v="1700"/>
  </r>
  <r>
    <n v="42"/>
    <n v="3612"/>
    <n v="785"/>
    <x v="6"/>
    <x v="2"/>
    <n v="143.9"/>
    <n v="0.09"/>
    <x v="41"/>
    <x v="1"/>
    <s v="Clarkeville"/>
    <n v="41"/>
    <x v="1"/>
    <s v="Medium"/>
    <n v="57.88"/>
    <n v="5"/>
    <x v="1"/>
    <n v="4200"/>
    <n v="650"/>
  </r>
  <r>
    <n v="43"/>
    <n v="8041"/>
    <n v="101"/>
    <x v="0"/>
    <x v="2"/>
    <n v="202.28"/>
    <n v="0.11"/>
    <x v="42"/>
    <x v="0"/>
    <s v="Christopherside"/>
    <n v="57"/>
    <x v="2"/>
    <s v="Medium"/>
    <n v="39.869999999999997"/>
    <n v="5"/>
    <x v="2"/>
    <n v="6400"/>
    <n v="1200"/>
  </r>
  <r>
    <n v="44"/>
    <n v="7235"/>
    <n v="718"/>
    <x v="1"/>
    <x v="2"/>
    <n v="108.93"/>
    <n v="0.12"/>
    <x v="43"/>
    <x v="1"/>
    <s v="Deborahton"/>
    <n v="25"/>
    <x v="1"/>
    <s v="Medium"/>
    <n v="13.93"/>
    <n v="5"/>
    <x v="3"/>
    <n v="3100"/>
    <n v="250"/>
  </r>
  <r>
    <n v="45"/>
    <n v="6486"/>
    <n v="778"/>
    <x v="5"/>
    <x v="3"/>
    <n v="176.51"/>
    <n v="0.01"/>
    <x v="44"/>
    <x v="1"/>
    <s v="Ewingbury"/>
    <n v="53"/>
    <x v="0"/>
    <s v="Medium"/>
    <n v="46.24"/>
    <n v="5"/>
    <x v="0"/>
    <n v="8800"/>
    <n v="2800"/>
  </r>
  <r>
    <n v="46"/>
    <n v="8099"/>
    <n v="120"/>
    <x v="5"/>
    <x v="1"/>
    <n v="309.39"/>
    <n v="0.05"/>
    <x v="45"/>
    <x v="1"/>
    <s v="Michelleborough"/>
    <n v="43"/>
    <x v="1"/>
    <s v="Low"/>
    <n v="68.94"/>
    <n v="5"/>
    <x v="1"/>
    <n v="3800"/>
    <n v="550"/>
  </r>
  <r>
    <n v="47"/>
    <n v="1775"/>
    <n v="561"/>
    <x v="5"/>
    <x v="0"/>
    <n v="947.84"/>
    <n v="0.26"/>
    <x v="46"/>
    <x v="0"/>
    <s v="South Cathy"/>
    <n v="32"/>
    <x v="1"/>
    <s v="Low"/>
    <n v="37.53"/>
    <n v="5"/>
    <x v="2"/>
    <n v="5200"/>
    <n v="800"/>
  </r>
  <r>
    <n v="48"/>
    <n v="9226"/>
    <n v="449"/>
    <x v="2"/>
    <x v="1"/>
    <n v="984.98"/>
    <n v="0.23"/>
    <x v="47"/>
    <x v="3"/>
    <s v="Garciaburgh"/>
    <n v="58"/>
    <x v="1"/>
    <s v="High"/>
    <n v="0"/>
    <n v="5"/>
    <x v="3"/>
    <n v="4700"/>
    <n v="700"/>
  </r>
  <r>
    <n v="49"/>
    <n v="4152"/>
    <n v="653"/>
    <x v="5"/>
    <x v="3"/>
    <n v="157.11000000000001"/>
    <n v="0.03"/>
    <x v="48"/>
    <x v="2"/>
    <s v="Berryfort"/>
    <n v="64"/>
    <x v="1"/>
    <s v="Low"/>
    <n v="98.52"/>
    <n v="5"/>
    <x v="0"/>
    <n v="6900"/>
    <n v="140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BF3756C7-EA63-43AB-98C8-F424B8F56876}" name="PivotTable54" cacheId="37"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A3:B11" firstHeaderRow="1" firstDataRow="1" firstDataCol="1"/>
  <pivotFields count="18">
    <pivotField showAll="0"/>
    <pivotField showAll="0"/>
    <pivotField showAll="0"/>
    <pivotField axis="axisRow" showAll="0">
      <items count="8">
        <item x="1"/>
        <item x="4"/>
        <item x="0"/>
        <item x="3"/>
        <item x="6"/>
        <item x="5"/>
        <item x="2"/>
        <item t="default"/>
      </items>
    </pivotField>
    <pivotField numFmtId="170" showAll="0">
      <items count="5">
        <item h="1" x="0"/>
        <item h="1" x="1"/>
        <item x="2"/>
        <item h="1" x="3"/>
        <item t="default"/>
      </items>
    </pivotField>
    <pivotField numFmtId="164" showAll="0"/>
    <pivotField dataField="1" numFmtId="167" showAll="0"/>
    <pivotField numFmtId="165" showAll="0"/>
    <pivotField showAll="0"/>
    <pivotField showAll="0"/>
    <pivotField showAll="0"/>
    <pivotField showAll="0"/>
    <pivotField showAll="0"/>
    <pivotField numFmtId="2" showAll="0"/>
    <pivotField showAll="0"/>
    <pivotField showAll="0"/>
    <pivotField showAll="0"/>
    <pivotField showAll="0"/>
  </pivotFields>
  <rowFields count="1">
    <field x="3"/>
  </rowFields>
  <rowItems count="8">
    <i>
      <x/>
    </i>
    <i>
      <x v="1"/>
    </i>
    <i>
      <x v="2"/>
    </i>
    <i>
      <x v="3"/>
    </i>
    <i>
      <x v="4"/>
    </i>
    <i>
      <x v="5"/>
    </i>
    <i>
      <x v="6"/>
    </i>
    <i t="grand">
      <x/>
    </i>
  </rowItems>
  <colItems count="1">
    <i/>
  </colItems>
  <dataFields count="1">
    <dataField name="Sum of Discount" fld="6" baseField="0" baseItem="0" numFmtId="167"/>
  </dataFields>
  <chartFormats count="1">
    <chartFormat chart="0" format="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331656C9-144B-495B-BA8F-08E9963695D2}" name="PivotTable6" cacheId="37"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2" rowHeaderCaption="Region">
  <location ref="V190:AD208" firstHeaderRow="1" firstDataRow="2" firstDataCol="1"/>
  <pivotFields count="18">
    <pivotField showAll="0"/>
    <pivotField showAll="0"/>
    <pivotField showAll="0"/>
    <pivotField axis="axisCol" showAll="0">
      <items count="8">
        <item x="1"/>
        <item x="4"/>
        <item x="0"/>
        <item x="3"/>
        <item x="6"/>
        <item x="5"/>
        <item x="2"/>
        <item t="default"/>
      </items>
    </pivotField>
    <pivotField numFmtId="2" showAll="0"/>
    <pivotField numFmtId="164" showAll="0"/>
    <pivotField numFmtId="167" showAll="0"/>
    <pivotField numFmtId="165" showAll="0"/>
    <pivotField showAll="0">
      <items count="6">
        <item x="2"/>
        <item x="0"/>
        <item x="3"/>
        <item x="1"/>
        <item x="4"/>
        <item t="default"/>
      </items>
    </pivotField>
    <pivotField showAll="0"/>
    <pivotField showAll="0"/>
    <pivotField axis="axisRow" showAll="0">
      <items count="4">
        <item x="0"/>
        <item x="2"/>
        <item x="1"/>
        <item t="default"/>
      </items>
    </pivotField>
    <pivotField showAll="0"/>
    <pivotField numFmtId="2" showAll="0"/>
    <pivotField showAll="0"/>
    <pivotField axis="axisRow" showAll="0">
      <items count="5">
        <item x="2"/>
        <item x="0"/>
        <item x="1"/>
        <item x="3"/>
        <item t="default"/>
      </items>
    </pivotField>
    <pivotField dataField="1" numFmtId="2" showAll="0"/>
    <pivotField numFmtId="2" multipleItemSelectionAllowed="1" showAll="0"/>
  </pivotFields>
  <rowFields count="2">
    <field x="15"/>
    <field x="11"/>
  </rowFields>
  <rowItems count="17">
    <i>
      <x/>
    </i>
    <i r="1">
      <x/>
    </i>
    <i r="1">
      <x v="1"/>
    </i>
    <i r="1">
      <x v="2"/>
    </i>
    <i>
      <x v="1"/>
    </i>
    <i r="1">
      <x/>
    </i>
    <i r="1">
      <x v="1"/>
    </i>
    <i r="1">
      <x v="2"/>
    </i>
    <i>
      <x v="2"/>
    </i>
    <i r="1">
      <x/>
    </i>
    <i r="1">
      <x v="1"/>
    </i>
    <i r="1">
      <x v="2"/>
    </i>
    <i>
      <x v="3"/>
    </i>
    <i r="1">
      <x/>
    </i>
    <i r="1">
      <x v="1"/>
    </i>
    <i r="1">
      <x v="2"/>
    </i>
    <i t="grand">
      <x/>
    </i>
  </rowItems>
  <colFields count="1">
    <field x="3"/>
  </colFields>
  <colItems count="8">
    <i>
      <x/>
    </i>
    <i>
      <x v="1"/>
    </i>
    <i>
      <x v="2"/>
    </i>
    <i>
      <x v="3"/>
    </i>
    <i>
      <x v="4"/>
    </i>
    <i>
      <x v="5"/>
    </i>
    <i>
      <x v="6"/>
    </i>
    <i t="grand">
      <x/>
    </i>
  </colItems>
  <dataFields count="1">
    <dataField name="Total Sales" fld="16" baseField="15" baseItem="0" numFmtId="2"/>
  </dataFields>
  <chartFormats count="98">
    <chartFormat chart="0" format="0" series="1">
      <pivotArea type="data" outline="0" fieldPosition="0">
        <references count="2">
          <reference field="4294967294" count="1" selected="0">
            <x v="0"/>
          </reference>
          <reference field="3" count="1" selected="0">
            <x v="0"/>
          </reference>
        </references>
      </pivotArea>
    </chartFormat>
    <chartFormat chart="0" format="1" series="1">
      <pivotArea type="data" outline="0" fieldPosition="0">
        <references count="2">
          <reference field="4294967294" count="1" selected="0">
            <x v="0"/>
          </reference>
          <reference field="3" count="1" selected="0">
            <x v="1"/>
          </reference>
        </references>
      </pivotArea>
    </chartFormat>
    <chartFormat chart="0" format="2" series="1">
      <pivotArea type="data" outline="0" fieldPosition="0">
        <references count="2">
          <reference field="4294967294" count="1" selected="0">
            <x v="0"/>
          </reference>
          <reference field="3" count="1" selected="0">
            <x v="2"/>
          </reference>
        </references>
      </pivotArea>
    </chartFormat>
    <chartFormat chart="0" format="3" series="1">
      <pivotArea type="data" outline="0" fieldPosition="0">
        <references count="2">
          <reference field="4294967294" count="1" selected="0">
            <x v="0"/>
          </reference>
          <reference field="3" count="1" selected="0">
            <x v="3"/>
          </reference>
        </references>
      </pivotArea>
    </chartFormat>
    <chartFormat chart="0" format="4" series="1">
      <pivotArea type="data" outline="0" fieldPosition="0">
        <references count="2">
          <reference field="4294967294" count="1" selected="0">
            <x v="0"/>
          </reference>
          <reference field="3" count="1" selected="0">
            <x v="4"/>
          </reference>
        </references>
      </pivotArea>
    </chartFormat>
    <chartFormat chart="0" format="5" series="1">
      <pivotArea type="data" outline="0" fieldPosition="0">
        <references count="2">
          <reference field="4294967294" count="1" selected="0">
            <x v="0"/>
          </reference>
          <reference field="3" count="1" selected="0">
            <x v="5"/>
          </reference>
        </references>
      </pivotArea>
    </chartFormat>
    <chartFormat chart="0" format="6" series="1">
      <pivotArea type="data" outline="0" fieldPosition="0">
        <references count="2">
          <reference field="4294967294" count="1" selected="0">
            <x v="0"/>
          </reference>
          <reference field="3" count="1" selected="0">
            <x v="6"/>
          </reference>
        </references>
      </pivotArea>
    </chartFormat>
    <chartFormat chart="7" format="98" series="1">
      <pivotArea type="data" outline="0" fieldPosition="0">
        <references count="2">
          <reference field="4294967294" count="1" selected="0">
            <x v="0"/>
          </reference>
          <reference field="3" count="1" selected="0">
            <x v="0"/>
          </reference>
        </references>
      </pivotArea>
    </chartFormat>
    <chartFormat chart="7" format="99">
      <pivotArea type="data" outline="0" fieldPosition="0">
        <references count="4">
          <reference field="4294967294" count="1" selected="0">
            <x v="0"/>
          </reference>
          <reference field="3" count="1" selected="0">
            <x v="0"/>
          </reference>
          <reference field="11" count="1" selected="0">
            <x v="0"/>
          </reference>
          <reference field="15" count="1" selected="0">
            <x v="0"/>
          </reference>
        </references>
      </pivotArea>
    </chartFormat>
    <chartFormat chart="7" format="100">
      <pivotArea type="data" outline="0" fieldPosition="0">
        <references count="4">
          <reference field="4294967294" count="1" selected="0">
            <x v="0"/>
          </reference>
          <reference field="3" count="1" selected="0">
            <x v="0"/>
          </reference>
          <reference field="11" count="1" selected="0">
            <x v="1"/>
          </reference>
          <reference field="15" count="1" selected="0">
            <x v="0"/>
          </reference>
        </references>
      </pivotArea>
    </chartFormat>
    <chartFormat chart="7" format="101">
      <pivotArea type="data" outline="0" fieldPosition="0">
        <references count="4">
          <reference field="4294967294" count="1" selected="0">
            <x v="0"/>
          </reference>
          <reference field="3" count="1" selected="0">
            <x v="0"/>
          </reference>
          <reference field="11" count="1" selected="0">
            <x v="2"/>
          </reference>
          <reference field="15" count="1" selected="0">
            <x v="0"/>
          </reference>
        </references>
      </pivotArea>
    </chartFormat>
    <chartFormat chart="7" format="102">
      <pivotArea type="data" outline="0" fieldPosition="0">
        <references count="4">
          <reference field="4294967294" count="1" selected="0">
            <x v="0"/>
          </reference>
          <reference field="3" count="1" selected="0">
            <x v="0"/>
          </reference>
          <reference field="11" count="1" selected="0">
            <x v="0"/>
          </reference>
          <reference field="15" count="1" selected="0">
            <x v="1"/>
          </reference>
        </references>
      </pivotArea>
    </chartFormat>
    <chartFormat chart="7" format="103">
      <pivotArea type="data" outline="0" fieldPosition="0">
        <references count="4">
          <reference field="4294967294" count="1" selected="0">
            <x v="0"/>
          </reference>
          <reference field="3" count="1" selected="0">
            <x v="0"/>
          </reference>
          <reference field="11" count="1" selected="0">
            <x v="1"/>
          </reference>
          <reference field="15" count="1" selected="0">
            <x v="1"/>
          </reference>
        </references>
      </pivotArea>
    </chartFormat>
    <chartFormat chart="7" format="104">
      <pivotArea type="data" outline="0" fieldPosition="0">
        <references count="4">
          <reference field="4294967294" count="1" selected="0">
            <x v="0"/>
          </reference>
          <reference field="3" count="1" selected="0">
            <x v="0"/>
          </reference>
          <reference field="11" count="1" selected="0">
            <x v="2"/>
          </reference>
          <reference field="15" count="1" selected="0">
            <x v="1"/>
          </reference>
        </references>
      </pivotArea>
    </chartFormat>
    <chartFormat chart="7" format="105">
      <pivotArea type="data" outline="0" fieldPosition="0">
        <references count="4">
          <reference field="4294967294" count="1" selected="0">
            <x v="0"/>
          </reference>
          <reference field="3" count="1" selected="0">
            <x v="0"/>
          </reference>
          <reference field="11" count="1" selected="0">
            <x v="0"/>
          </reference>
          <reference field="15" count="1" selected="0">
            <x v="2"/>
          </reference>
        </references>
      </pivotArea>
    </chartFormat>
    <chartFormat chart="7" format="106">
      <pivotArea type="data" outline="0" fieldPosition="0">
        <references count="4">
          <reference field="4294967294" count="1" selected="0">
            <x v="0"/>
          </reference>
          <reference field="3" count="1" selected="0">
            <x v="0"/>
          </reference>
          <reference field="11" count="1" selected="0">
            <x v="1"/>
          </reference>
          <reference field="15" count="1" selected="0">
            <x v="2"/>
          </reference>
        </references>
      </pivotArea>
    </chartFormat>
    <chartFormat chart="7" format="107">
      <pivotArea type="data" outline="0" fieldPosition="0">
        <references count="4">
          <reference field="4294967294" count="1" selected="0">
            <x v="0"/>
          </reference>
          <reference field="3" count="1" selected="0">
            <x v="0"/>
          </reference>
          <reference field="11" count="1" selected="0">
            <x v="2"/>
          </reference>
          <reference field="15" count="1" selected="0">
            <x v="2"/>
          </reference>
        </references>
      </pivotArea>
    </chartFormat>
    <chartFormat chart="7" format="108">
      <pivotArea type="data" outline="0" fieldPosition="0">
        <references count="4">
          <reference field="4294967294" count="1" selected="0">
            <x v="0"/>
          </reference>
          <reference field="3" count="1" selected="0">
            <x v="0"/>
          </reference>
          <reference field="11" count="1" selected="0">
            <x v="0"/>
          </reference>
          <reference field="15" count="1" selected="0">
            <x v="3"/>
          </reference>
        </references>
      </pivotArea>
    </chartFormat>
    <chartFormat chart="7" format="109">
      <pivotArea type="data" outline="0" fieldPosition="0">
        <references count="4">
          <reference field="4294967294" count="1" selected="0">
            <x v="0"/>
          </reference>
          <reference field="3" count="1" selected="0">
            <x v="0"/>
          </reference>
          <reference field="11" count="1" selected="0">
            <x v="1"/>
          </reference>
          <reference field="15" count="1" selected="0">
            <x v="3"/>
          </reference>
        </references>
      </pivotArea>
    </chartFormat>
    <chartFormat chart="7" format="110">
      <pivotArea type="data" outline="0" fieldPosition="0">
        <references count="4">
          <reference field="4294967294" count="1" selected="0">
            <x v="0"/>
          </reference>
          <reference field="3" count="1" selected="0">
            <x v="0"/>
          </reference>
          <reference field="11" count="1" selected="0">
            <x v="2"/>
          </reference>
          <reference field="15" count="1" selected="0">
            <x v="3"/>
          </reference>
        </references>
      </pivotArea>
    </chartFormat>
    <chartFormat chart="7" format="111" series="1">
      <pivotArea type="data" outline="0" fieldPosition="0">
        <references count="2">
          <reference field="4294967294" count="1" selected="0">
            <x v="0"/>
          </reference>
          <reference field="3" count="1" selected="0">
            <x v="1"/>
          </reference>
        </references>
      </pivotArea>
    </chartFormat>
    <chartFormat chart="7" format="112">
      <pivotArea type="data" outline="0" fieldPosition="0">
        <references count="4">
          <reference field="4294967294" count="1" selected="0">
            <x v="0"/>
          </reference>
          <reference field="3" count="1" selected="0">
            <x v="1"/>
          </reference>
          <reference field="11" count="1" selected="0">
            <x v="0"/>
          </reference>
          <reference field="15" count="1" selected="0">
            <x v="0"/>
          </reference>
        </references>
      </pivotArea>
    </chartFormat>
    <chartFormat chart="7" format="113">
      <pivotArea type="data" outline="0" fieldPosition="0">
        <references count="4">
          <reference field="4294967294" count="1" selected="0">
            <x v="0"/>
          </reference>
          <reference field="3" count="1" selected="0">
            <x v="1"/>
          </reference>
          <reference field="11" count="1" selected="0">
            <x v="1"/>
          </reference>
          <reference field="15" count="1" selected="0">
            <x v="0"/>
          </reference>
        </references>
      </pivotArea>
    </chartFormat>
    <chartFormat chart="7" format="114">
      <pivotArea type="data" outline="0" fieldPosition="0">
        <references count="4">
          <reference field="4294967294" count="1" selected="0">
            <x v="0"/>
          </reference>
          <reference field="3" count="1" selected="0">
            <x v="1"/>
          </reference>
          <reference field="11" count="1" selected="0">
            <x v="2"/>
          </reference>
          <reference field="15" count="1" selected="0">
            <x v="0"/>
          </reference>
        </references>
      </pivotArea>
    </chartFormat>
    <chartFormat chart="7" format="115">
      <pivotArea type="data" outline="0" fieldPosition="0">
        <references count="4">
          <reference field="4294967294" count="1" selected="0">
            <x v="0"/>
          </reference>
          <reference field="3" count="1" selected="0">
            <x v="1"/>
          </reference>
          <reference field="11" count="1" selected="0">
            <x v="0"/>
          </reference>
          <reference field="15" count="1" selected="0">
            <x v="1"/>
          </reference>
        </references>
      </pivotArea>
    </chartFormat>
    <chartFormat chart="7" format="116">
      <pivotArea type="data" outline="0" fieldPosition="0">
        <references count="4">
          <reference field="4294967294" count="1" selected="0">
            <x v="0"/>
          </reference>
          <reference field="3" count="1" selected="0">
            <x v="1"/>
          </reference>
          <reference field="11" count="1" selected="0">
            <x v="1"/>
          </reference>
          <reference field="15" count="1" selected="0">
            <x v="1"/>
          </reference>
        </references>
      </pivotArea>
    </chartFormat>
    <chartFormat chart="7" format="117">
      <pivotArea type="data" outline="0" fieldPosition="0">
        <references count="4">
          <reference field="4294967294" count="1" selected="0">
            <x v="0"/>
          </reference>
          <reference field="3" count="1" selected="0">
            <x v="1"/>
          </reference>
          <reference field="11" count="1" selected="0">
            <x v="2"/>
          </reference>
          <reference field="15" count="1" selected="0">
            <x v="1"/>
          </reference>
        </references>
      </pivotArea>
    </chartFormat>
    <chartFormat chart="7" format="118">
      <pivotArea type="data" outline="0" fieldPosition="0">
        <references count="4">
          <reference field="4294967294" count="1" selected="0">
            <x v="0"/>
          </reference>
          <reference field="3" count="1" selected="0">
            <x v="1"/>
          </reference>
          <reference field="11" count="1" selected="0">
            <x v="0"/>
          </reference>
          <reference field="15" count="1" selected="0">
            <x v="2"/>
          </reference>
        </references>
      </pivotArea>
    </chartFormat>
    <chartFormat chart="7" format="119">
      <pivotArea type="data" outline="0" fieldPosition="0">
        <references count="4">
          <reference field="4294967294" count="1" selected="0">
            <x v="0"/>
          </reference>
          <reference field="3" count="1" selected="0">
            <x v="1"/>
          </reference>
          <reference field="11" count="1" selected="0">
            <x v="1"/>
          </reference>
          <reference field="15" count="1" selected="0">
            <x v="2"/>
          </reference>
        </references>
      </pivotArea>
    </chartFormat>
    <chartFormat chart="7" format="120">
      <pivotArea type="data" outline="0" fieldPosition="0">
        <references count="4">
          <reference field="4294967294" count="1" selected="0">
            <x v="0"/>
          </reference>
          <reference field="3" count="1" selected="0">
            <x v="1"/>
          </reference>
          <reference field="11" count="1" selected="0">
            <x v="2"/>
          </reference>
          <reference field="15" count="1" selected="0">
            <x v="2"/>
          </reference>
        </references>
      </pivotArea>
    </chartFormat>
    <chartFormat chart="7" format="121">
      <pivotArea type="data" outline="0" fieldPosition="0">
        <references count="4">
          <reference field="4294967294" count="1" selected="0">
            <x v="0"/>
          </reference>
          <reference field="3" count="1" selected="0">
            <x v="1"/>
          </reference>
          <reference field="11" count="1" selected="0">
            <x v="0"/>
          </reference>
          <reference field="15" count="1" selected="0">
            <x v="3"/>
          </reference>
        </references>
      </pivotArea>
    </chartFormat>
    <chartFormat chart="7" format="122">
      <pivotArea type="data" outline="0" fieldPosition="0">
        <references count="4">
          <reference field="4294967294" count="1" selected="0">
            <x v="0"/>
          </reference>
          <reference field="3" count="1" selected="0">
            <x v="1"/>
          </reference>
          <reference field="11" count="1" selected="0">
            <x v="1"/>
          </reference>
          <reference field="15" count="1" selected="0">
            <x v="3"/>
          </reference>
        </references>
      </pivotArea>
    </chartFormat>
    <chartFormat chart="7" format="123">
      <pivotArea type="data" outline="0" fieldPosition="0">
        <references count="4">
          <reference field="4294967294" count="1" selected="0">
            <x v="0"/>
          </reference>
          <reference field="3" count="1" selected="0">
            <x v="1"/>
          </reference>
          <reference field="11" count="1" selected="0">
            <x v="2"/>
          </reference>
          <reference field="15" count="1" selected="0">
            <x v="3"/>
          </reference>
        </references>
      </pivotArea>
    </chartFormat>
    <chartFormat chart="7" format="124" series="1">
      <pivotArea type="data" outline="0" fieldPosition="0">
        <references count="2">
          <reference field="4294967294" count="1" selected="0">
            <x v="0"/>
          </reference>
          <reference field="3" count="1" selected="0">
            <x v="2"/>
          </reference>
        </references>
      </pivotArea>
    </chartFormat>
    <chartFormat chart="7" format="125">
      <pivotArea type="data" outline="0" fieldPosition="0">
        <references count="4">
          <reference field="4294967294" count="1" selected="0">
            <x v="0"/>
          </reference>
          <reference field="3" count="1" selected="0">
            <x v="2"/>
          </reference>
          <reference field="11" count="1" selected="0">
            <x v="0"/>
          </reference>
          <reference field="15" count="1" selected="0">
            <x v="0"/>
          </reference>
        </references>
      </pivotArea>
    </chartFormat>
    <chartFormat chart="7" format="126">
      <pivotArea type="data" outline="0" fieldPosition="0">
        <references count="4">
          <reference field="4294967294" count="1" selected="0">
            <x v="0"/>
          </reference>
          <reference field="3" count="1" selected="0">
            <x v="2"/>
          </reference>
          <reference field="11" count="1" selected="0">
            <x v="1"/>
          </reference>
          <reference field="15" count="1" selected="0">
            <x v="0"/>
          </reference>
        </references>
      </pivotArea>
    </chartFormat>
    <chartFormat chart="7" format="127">
      <pivotArea type="data" outline="0" fieldPosition="0">
        <references count="4">
          <reference field="4294967294" count="1" selected="0">
            <x v="0"/>
          </reference>
          <reference field="3" count="1" selected="0">
            <x v="2"/>
          </reference>
          <reference field="11" count="1" selected="0">
            <x v="2"/>
          </reference>
          <reference field="15" count="1" selected="0">
            <x v="0"/>
          </reference>
        </references>
      </pivotArea>
    </chartFormat>
    <chartFormat chart="7" format="128">
      <pivotArea type="data" outline="0" fieldPosition="0">
        <references count="4">
          <reference field="4294967294" count="1" selected="0">
            <x v="0"/>
          </reference>
          <reference field="3" count="1" selected="0">
            <x v="2"/>
          </reference>
          <reference field="11" count="1" selected="0">
            <x v="0"/>
          </reference>
          <reference field="15" count="1" selected="0">
            <x v="1"/>
          </reference>
        </references>
      </pivotArea>
    </chartFormat>
    <chartFormat chart="7" format="129">
      <pivotArea type="data" outline="0" fieldPosition="0">
        <references count="4">
          <reference field="4294967294" count="1" selected="0">
            <x v="0"/>
          </reference>
          <reference field="3" count="1" selected="0">
            <x v="2"/>
          </reference>
          <reference field="11" count="1" selected="0">
            <x v="1"/>
          </reference>
          <reference field="15" count="1" selected="0">
            <x v="1"/>
          </reference>
        </references>
      </pivotArea>
    </chartFormat>
    <chartFormat chart="7" format="130">
      <pivotArea type="data" outline="0" fieldPosition="0">
        <references count="4">
          <reference field="4294967294" count="1" selected="0">
            <x v="0"/>
          </reference>
          <reference field="3" count="1" selected="0">
            <x v="2"/>
          </reference>
          <reference field="11" count="1" selected="0">
            <x v="2"/>
          </reference>
          <reference field="15" count="1" selected="0">
            <x v="1"/>
          </reference>
        </references>
      </pivotArea>
    </chartFormat>
    <chartFormat chart="7" format="131">
      <pivotArea type="data" outline="0" fieldPosition="0">
        <references count="4">
          <reference field="4294967294" count="1" selected="0">
            <x v="0"/>
          </reference>
          <reference field="3" count="1" selected="0">
            <x v="2"/>
          </reference>
          <reference field="11" count="1" selected="0">
            <x v="0"/>
          </reference>
          <reference field="15" count="1" selected="0">
            <x v="2"/>
          </reference>
        </references>
      </pivotArea>
    </chartFormat>
    <chartFormat chart="7" format="132">
      <pivotArea type="data" outline="0" fieldPosition="0">
        <references count="4">
          <reference field="4294967294" count="1" selected="0">
            <x v="0"/>
          </reference>
          <reference field="3" count="1" selected="0">
            <x v="2"/>
          </reference>
          <reference field="11" count="1" selected="0">
            <x v="1"/>
          </reference>
          <reference field="15" count="1" selected="0">
            <x v="2"/>
          </reference>
        </references>
      </pivotArea>
    </chartFormat>
    <chartFormat chart="7" format="133">
      <pivotArea type="data" outline="0" fieldPosition="0">
        <references count="4">
          <reference field="4294967294" count="1" selected="0">
            <x v="0"/>
          </reference>
          <reference field="3" count="1" selected="0">
            <x v="2"/>
          </reference>
          <reference field="11" count="1" selected="0">
            <x v="2"/>
          </reference>
          <reference field="15" count="1" selected="0">
            <x v="2"/>
          </reference>
        </references>
      </pivotArea>
    </chartFormat>
    <chartFormat chart="7" format="134">
      <pivotArea type="data" outline="0" fieldPosition="0">
        <references count="4">
          <reference field="4294967294" count="1" selected="0">
            <x v="0"/>
          </reference>
          <reference field="3" count="1" selected="0">
            <x v="2"/>
          </reference>
          <reference field="11" count="1" selected="0">
            <x v="0"/>
          </reference>
          <reference field="15" count="1" selected="0">
            <x v="3"/>
          </reference>
        </references>
      </pivotArea>
    </chartFormat>
    <chartFormat chart="7" format="135">
      <pivotArea type="data" outline="0" fieldPosition="0">
        <references count="4">
          <reference field="4294967294" count="1" selected="0">
            <x v="0"/>
          </reference>
          <reference field="3" count="1" selected="0">
            <x v="2"/>
          </reference>
          <reference field="11" count="1" selected="0">
            <x v="1"/>
          </reference>
          <reference field="15" count="1" selected="0">
            <x v="3"/>
          </reference>
        </references>
      </pivotArea>
    </chartFormat>
    <chartFormat chart="7" format="136">
      <pivotArea type="data" outline="0" fieldPosition="0">
        <references count="4">
          <reference field="4294967294" count="1" selected="0">
            <x v="0"/>
          </reference>
          <reference field="3" count="1" selected="0">
            <x v="2"/>
          </reference>
          <reference field="11" count="1" selected="0">
            <x v="2"/>
          </reference>
          <reference field="15" count="1" selected="0">
            <x v="3"/>
          </reference>
        </references>
      </pivotArea>
    </chartFormat>
    <chartFormat chart="7" format="137" series="1">
      <pivotArea type="data" outline="0" fieldPosition="0">
        <references count="2">
          <reference field="4294967294" count="1" selected="0">
            <x v="0"/>
          </reference>
          <reference field="3" count="1" selected="0">
            <x v="3"/>
          </reference>
        </references>
      </pivotArea>
    </chartFormat>
    <chartFormat chart="7" format="138">
      <pivotArea type="data" outline="0" fieldPosition="0">
        <references count="4">
          <reference field="4294967294" count="1" selected="0">
            <x v="0"/>
          </reference>
          <reference field="3" count="1" selected="0">
            <x v="3"/>
          </reference>
          <reference field="11" count="1" selected="0">
            <x v="0"/>
          </reference>
          <reference field="15" count="1" selected="0">
            <x v="0"/>
          </reference>
        </references>
      </pivotArea>
    </chartFormat>
    <chartFormat chart="7" format="139">
      <pivotArea type="data" outline="0" fieldPosition="0">
        <references count="4">
          <reference field="4294967294" count="1" selected="0">
            <x v="0"/>
          </reference>
          <reference field="3" count="1" selected="0">
            <x v="3"/>
          </reference>
          <reference field="11" count="1" selected="0">
            <x v="1"/>
          </reference>
          <reference field="15" count="1" selected="0">
            <x v="0"/>
          </reference>
        </references>
      </pivotArea>
    </chartFormat>
    <chartFormat chart="7" format="140">
      <pivotArea type="data" outline="0" fieldPosition="0">
        <references count="4">
          <reference field="4294967294" count="1" selected="0">
            <x v="0"/>
          </reference>
          <reference field="3" count="1" selected="0">
            <x v="3"/>
          </reference>
          <reference field="11" count="1" selected="0">
            <x v="2"/>
          </reference>
          <reference field="15" count="1" selected="0">
            <x v="0"/>
          </reference>
        </references>
      </pivotArea>
    </chartFormat>
    <chartFormat chart="7" format="141">
      <pivotArea type="data" outline="0" fieldPosition="0">
        <references count="4">
          <reference field="4294967294" count="1" selected="0">
            <x v="0"/>
          </reference>
          <reference field="3" count="1" selected="0">
            <x v="3"/>
          </reference>
          <reference field="11" count="1" selected="0">
            <x v="0"/>
          </reference>
          <reference field="15" count="1" selected="0">
            <x v="1"/>
          </reference>
        </references>
      </pivotArea>
    </chartFormat>
    <chartFormat chart="7" format="142">
      <pivotArea type="data" outline="0" fieldPosition="0">
        <references count="4">
          <reference field="4294967294" count="1" selected="0">
            <x v="0"/>
          </reference>
          <reference field="3" count="1" selected="0">
            <x v="3"/>
          </reference>
          <reference field="11" count="1" selected="0">
            <x v="1"/>
          </reference>
          <reference field="15" count="1" selected="0">
            <x v="1"/>
          </reference>
        </references>
      </pivotArea>
    </chartFormat>
    <chartFormat chart="7" format="143">
      <pivotArea type="data" outline="0" fieldPosition="0">
        <references count="4">
          <reference field="4294967294" count="1" selected="0">
            <x v="0"/>
          </reference>
          <reference field="3" count="1" selected="0">
            <x v="3"/>
          </reference>
          <reference field="11" count="1" selected="0">
            <x v="2"/>
          </reference>
          <reference field="15" count="1" selected="0">
            <x v="1"/>
          </reference>
        </references>
      </pivotArea>
    </chartFormat>
    <chartFormat chart="7" format="144">
      <pivotArea type="data" outline="0" fieldPosition="0">
        <references count="4">
          <reference field="4294967294" count="1" selected="0">
            <x v="0"/>
          </reference>
          <reference field="3" count="1" selected="0">
            <x v="3"/>
          </reference>
          <reference field="11" count="1" selected="0">
            <x v="0"/>
          </reference>
          <reference field="15" count="1" selected="0">
            <x v="2"/>
          </reference>
        </references>
      </pivotArea>
    </chartFormat>
    <chartFormat chart="7" format="145">
      <pivotArea type="data" outline="0" fieldPosition="0">
        <references count="4">
          <reference field="4294967294" count="1" selected="0">
            <x v="0"/>
          </reference>
          <reference field="3" count="1" selected="0">
            <x v="3"/>
          </reference>
          <reference field="11" count="1" selected="0">
            <x v="1"/>
          </reference>
          <reference field="15" count="1" selected="0">
            <x v="2"/>
          </reference>
        </references>
      </pivotArea>
    </chartFormat>
    <chartFormat chart="7" format="146">
      <pivotArea type="data" outline="0" fieldPosition="0">
        <references count="4">
          <reference field="4294967294" count="1" selected="0">
            <x v="0"/>
          </reference>
          <reference field="3" count="1" selected="0">
            <x v="3"/>
          </reference>
          <reference field="11" count="1" selected="0">
            <x v="2"/>
          </reference>
          <reference field="15" count="1" selected="0">
            <x v="2"/>
          </reference>
        </references>
      </pivotArea>
    </chartFormat>
    <chartFormat chart="7" format="147">
      <pivotArea type="data" outline="0" fieldPosition="0">
        <references count="4">
          <reference field="4294967294" count="1" selected="0">
            <x v="0"/>
          </reference>
          <reference field="3" count="1" selected="0">
            <x v="3"/>
          </reference>
          <reference field="11" count="1" selected="0">
            <x v="0"/>
          </reference>
          <reference field="15" count="1" selected="0">
            <x v="3"/>
          </reference>
        </references>
      </pivotArea>
    </chartFormat>
    <chartFormat chart="7" format="148">
      <pivotArea type="data" outline="0" fieldPosition="0">
        <references count="4">
          <reference field="4294967294" count="1" selected="0">
            <x v="0"/>
          </reference>
          <reference field="3" count="1" selected="0">
            <x v="3"/>
          </reference>
          <reference field="11" count="1" selected="0">
            <x v="1"/>
          </reference>
          <reference field="15" count="1" selected="0">
            <x v="3"/>
          </reference>
        </references>
      </pivotArea>
    </chartFormat>
    <chartFormat chart="7" format="149">
      <pivotArea type="data" outline="0" fieldPosition="0">
        <references count="4">
          <reference field="4294967294" count="1" selected="0">
            <x v="0"/>
          </reference>
          <reference field="3" count="1" selected="0">
            <x v="3"/>
          </reference>
          <reference field="11" count="1" selected="0">
            <x v="2"/>
          </reference>
          <reference field="15" count="1" selected="0">
            <x v="3"/>
          </reference>
        </references>
      </pivotArea>
    </chartFormat>
    <chartFormat chart="7" format="150" series="1">
      <pivotArea type="data" outline="0" fieldPosition="0">
        <references count="2">
          <reference field="4294967294" count="1" selected="0">
            <x v="0"/>
          </reference>
          <reference field="3" count="1" selected="0">
            <x v="4"/>
          </reference>
        </references>
      </pivotArea>
    </chartFormat>
    <chartFormat chart="7" format="151">
      <pivotArea type="data" outline="0" fieldPosition="0">
        <references count="4">
          <reference field="4294967294" count="1" selected="0">
            <x v="0"/>
          </reference>
          <reference field="3" count="1" selected="0">
            <x v="4"/>
          </reference>
          <reference field="11" count="1" selected="0">
            <x v="0"/>
          </reference>
          <reference field="15" count="1" selected="0">
            <x v="0"/>
          </reference>
        </references>
      </pivotArea>
    </chartFormat>
    <chartFormat chart="7" format="152">
      <pivotArea type="data" outline="0" fieldPosition="0">
        <references count="4">
          <reference field="4294967294" count="1" selected="0">
            <x v="0"/>
          </reference>
          <reference field="3" count="1" selected="0">
            <x v="4"/>
          </reference>
          <reference field="11" count="1" selected="0">
            <x v="1"/>
          </reference>
          <reference field="15" count="1" selected="0">
            <x v="0"/>
          </reference>
        </references>
      </pivotArea>
    </chartFormat>
    <chartFormat chart="7" format="153">
      <pivotArea type="data" outline="0" fieldPosition="0">
        <references count="4">
          <reference field="4294967294" count="1" selected="0">
            <x v="0"/>
          </reference>
          <reference field="3" count="1" selected="0">
            <x v="4"/>
          </reference>
          <reference field="11" count="1" selected="0">
            <x v="2"/>
          </reference>
          <reference field="15" count="1" selected="0">
            <x v="0"/>
          </reference>
        </references>
      </pivotArea>
    </chartFormat>
    <chartFormat chart="7" format="154">
      <pivotArea type="data" outline="0" fieldPosition="0">
        <references count="4">
          <reference field="4294967294" count="1" selected="0">
            <x v="0"/>
          </reference>
          <reference field="3" count="1" selected="0">
            <x v="4"/>
          </reference>
          <reference field="11" count="1" selected="0">
            <x v="0"/>
          </reference>
          <reference field="15" count="1" selected="0">
            <x v="1"/>
          </reference>
        </references>
      </pivotArea>
    </chartFormat>
    <chartFormat chart="7" format="155">
      <pivotArea type="data" outline="0" fieldPosition="0">
        <references count="4">
          <reference field="4294967294" count="1" selected="0">
            <x v="0"/>
          </reference>
          <reference field="3" count="1" selected="0">
            <x v="4"/>
          </reference>
          <reference field="11" count="1" selected="0">
            <x v="1"/>
          </reference>
          <reference field="15" count="1" selected="0">
            <x v="1"/>
          </reference>
        </references>
      </pivotArea>
    </chartFormat>
    <chartFormat chart="7" format="156">
      <pivotArea type="data" outline="0" fieldPosition="0">
        <references count="4">
          <reference field="4294967294" count="1" selected="0">
            <x v="0"/>
          </reference>
          <reference field="3" count="1" selected="0">
            <x v="4"/>
          </reference>
          <reference field="11" count="1" selected="0">
            <x v="2"/>
          </reference>
          <reference field="15" count="1" selected="0">
            <x v="1"/>
          </reference>
        </references>
      </pivotArea>
    </chartFormat>
    <chartFormat chart="7" format="157">
      <pivotArea type="data" outline="0" fieldPosition="0">
        <references count="4">
          <reference field="4294967294" count="1" selected="0">
            <x v="0"/>
          </reference>
          <reference field="3" count="1" selected="0">
            <x v="4"/>
          </reference>
          <reference field="11" count="1" selected="0">
            <x v="0"/>
          </reference>
          <reference field="15" count="1" selected="0">
            <x v="2"/>
          </reference>
        </references>
      </pivotArea>
    </chartFormat>
    <chartFormat chart="7" format="158">
      <pivotArea type="data" outline="0" fieldPosition="0">
        <references count="4">
          <reference field="4294967294" count="1" selected="0">
            <x v="0"/>
          </reference>
          <reference field="3" count="1" selected="0">
            <x v="4"/>
          </reference>
          <reference field="11" count="1" selected="0">
            <x v="1"/>
          </reference>
          <reference field="15" count="1" selected="0">
            <x v="2"/>
          </reference>
        </references>
      </pivotArea>
    </chartFormat>
    <chartFormat chart="7" format="159">
      <pivotArea type="data" outline="0" fieldPosition="0">
        <references count="4">
          <reference field="4294967294" count="1" selected="0">
            <x v="0"/>
          </reference>
          <reference field="3" count="1" selected="0">
            <x v="4"/>
          </reference>
          <reference field="11" count="1" selected="0">
            <x v="2"/>
          </reference>
          <reference field="15" count="1" selected="0">
            <x v="2"/>
          </reference>
        </references>
      </pivotArea>
    </chartFormat>
    <chartFormat chart="7" format="160">
      <pivotArea type="data" outline="0" fieldPosition="0">
        <references count="4">
          <reference field="4294967294" count="1" selected="0">
            <x v="0"/>
          </reference>
          <reference field="3" count="1" selected="0">
            <x v="4"/>
          </reference>
          <reference field="11" count="1" selected="0">
            <x v="0"/>
          </reference>
          <reference field="15" count="1" selected="0">
            <x v="3"/>
          </reference>
        </references>
      </pivotArea>
    </chartFormat>
    <chartFormat chart="7" format="161">
      <pivotArea type="data" outline="0" fieldPosition="0">
        <references count="4">
          <reference field="4294967294" count="1" selected="0">
            <x v="0"/>
          </reference>
          <reference field="3" count="1" selected="0">
            <x v="4"/>
          </reference>
          <reference field="11" count="1" selected="0">
            <x v="1"/>
          </reference>
          <reference field="15" count="1" selected="0">
            <x v="3"/>
          </reference>
        </references>
      </pivotArea>
    </chartFormat>
    <chartFormat chart="7" format="162">
      <pivotArea type="data" outline="0" fieldPosition="0">
        <references count="4">
          <reference field="4294967294" count="1" selected="0">
            <x v="0"/>
          </reference>
          <reference field="3" count="1" selected="0">
            <x v="4"/>
          </reference>
          <reference field="11" count="1" selected="0">
            <x v="2"/>
          </reference>
          <reference field="15" count="1" selected="0">
            <x v="3"/>
          </reference>
        </references>
      </pivotArea>
    </chartFormat>
    <chartFormat chart="7" format="163" series="1">
      <pivotArea type="data" outline="0" fieldPosition="0">
        <references count="2">
          <reference field="4294967294" count="1" selected="0">
            <x v="0"/>
          </reference>
          <reference field="3" count="1" selected="0">
            <x v="5"/>
          </reference>
        </references>
      </pivotArea>
    </chartFormat>
    <chartFormat chart="7" format="164">
      <pivotArea type="data" outline="0" fieldPosition="0">
        <references count="4">
          <reference field="4294967294" count="1" selected="0">
            <x v="0"/>
          </reference>
          <reference field="3" count="1" selected="0">
            <x v="5"/>
          </reference>
          <reference field="11" count="1" selected="0">
            <x v="0"/>
          </reference>
          <reference field="15" count="1" selected="0">
            <x v="0"/>
          </reference>
        </references>
      </pivotArea>
    </chartFormat>
    <chartFormat chart="7" format="165">
      <pivotArea type="data" outline="0" fieldPosition="0">
        <references count="4">
          <reference field="4294967294" count="1" selected="0">
            <x v="0"/>
          </reference>
          <reference field="3" count="1" selected="0">
            <x v="5"/>
          </reference>
          <reference field="11" count="1" selected="0">
            <x v="1"/>
          </reference>
          <reference field="15" count="1" selected="0">
            <x v="0"/>
          </reference>
        </references>
      </pivotArea>
    </chartFormat>
    <chartFormat chart="7" format="166">
      <pivotArea type="data" outline="0" fieldPosition="0">
        <references count="4">
          <reference field="4294967294" count="1" selected="0">
            <x v="0"/>
          </reference>
          <reference field="3" count="1" selected="0">
            <x v="5"/>
          </reference>
          <reference field="11" count="1" selected="0">
            <x v="2"/>
          </reference>
          <reference field="15" count="1" selected="0">
            <x v="0"/>
          </reference>
        </references>
      </pivotArea>
    </chartFormat>
    <chartFormat chart="7" format="167">
      <pivotArea type="data" outline="0" fieldPosition="0">
        <references count="4">
          <reference field="4294967294" count="1" selected="0">
            <x v="0"/>
          </reference>
          <reference field="3" count="1" selected="0">
            <x v="5"/>
          </reference>
          <reference field="11" count="1" selected="0">
            <x v="0"/>
          </reference>
          <reference field="15" count="1" selected="0">
            <x v="1"/>
          </reference>
        </references>
      </pivotArea>
    </chartFormat>
    <chartFormat chart="7" format="168">
      <pivotArea type="data" outline="0" fieldPosition="0">
        <references count="4">
          <reference field="4294967294" count="1" selected="0">
            <x v="0"/>
          </reference>
          <reference field="3" count="1" selected="0">
            <x v="5"/>
          </reference>
          <reference field="11" count="1" selected="0">
            <x v="1"/>
          </reference>
          <reference field="15" count="1" selected="0">
            <x v="1"/>
          </reference>
        </references>
      </pivotArea>
    </chartFormat>
    <chartFormat chart="7" format="169">
      <pivotArea type="data" outline="0" fieldPosition="0">
        <references count="4">
          <reference field="4294967294" count="1" selected="0">
            <x v="0"/>
          </reference>
          <reference field="3" count="1" selected="0">
            <x v="5"/>
          </reference>
          <reference field="11" count="1" selected="0">
            <x v="2"/>
          </reference>
          <reference field="15" count="1" selected="0">
            <x v="1"/>
          </reference>
        </references>
      </pivotArea>
    </chartFormat>
    <chartFormat chart="7" format="170">
      <pivotArea type="data" outline="0" fieldPosition="0">
        <references count="4">
          <reference field="4294967294" count="1" selected="0">
            <x v="0"/>
          </reference>
          <reference field="3" count="1" selected="0">
            <x v="5"/>
          </reference>
          <reference field="11" count="1" selected="0">
            <x v="0"/>
          </reference>
          <reference field="15" count="1" selected="0">
            <x v="2"/>
          </reference>
        </references>
      </pivotArea>
    </chartFormat>
    <chartFormat chart="7" format="171">
      <pivotArea type="data" outline="0" fieldPosition="0">
        <references count="4">
          <reference field="4294967294" count="1" selected="0">
            <x v="0"/>
          </reference>
          <reference field="3" count="1" selected="0">
            <x v="5"/>
          </reference>
          <reference field="11" count="1" selected="0">
            <x v="1"/>
          </reference>
          <reference field="15" count="1" selected="0">
            <x v="2"/>
          </reference>
        </references>
      </pivotArea>
    </chartFormat>
    <chartFormat chart="7" format="172">
      <pivotArea type="data" outline="0" fieldPosition="0">
        <references count="4">
          <reference field="4294967294" count="1" selected="0">
            <x v="0"/>
          </reference>
          <reference field="3" count="1" selected="0">
            <x v="5"/>
          </reference>
          <reference field="11" count="1" selected="0">
            <x v="2"/>
          </reference>
          <reference field="15" count="1" selected="0">
            <x v="2"/>
          </reference>
        </references>
      </pivotArea>
    </chartFormat>
    <chartFormat chart="7" format="173">
      <pivotArea type="data" outline="0" fieldPosition="0">
        <references count="4">
          <reference field="4294967294" count="1" selected="0">
            <x v="0"/>
          </reference>
          <reference field="3" count="1" selected="0">
            <x v="5"/>
          </reference>
          <reference field="11" count="1" selected="0">
            <x v="0"/>
          </reference>
          <reference field="15" count="1" selected="0">
            <x v="3"/>
          </reference>
        </references>
      </pivotArea>
    </chartFormat>
    <chartFormat chart="7" format="174">
      <pivotArea type="data" outline="0" fieldPosition="0">
        <references count="4">
          <reference field="4294967294" count="1" selected="0">
            <x v="0"/>
          </reference>
          <reference field="3" count="1" selected="0">
            <x v="5"/>
          </reference>
          <reference field="11" count="1" selected="0">
            <x v="1"/>
          </reference>
          <reference field="15" count="1" selected="0">
            <x v="3"/>
          </reference>
        </references>
      </pivotArea>
    </chartFormat>
    <chartFormat chart="7" format="175">
      <pivotArea type="data" outline="0" fieldPosition="0">
        <references count="4">
          <reference field="4294967294" count="1" selected="0">
            <x v="0"/>
          </reference>
          <reference field="3" count="1" selected="0">
            <x v="5"/>
          </reference>
          <reference field="11" count="1" selected="0">
            <x v="2"/>
          </reference>
          <reference field="15" count="1" selected="0">
            <x v="3"/>
          </reference>
        </references>
      </pivotArea>
    </chartFormat>
    <chartFormat chart="7" format="176" series="1">
      <pivotArea type="data" outline="0" fieldPosition="0">
        <references count="2">
          <reference field="4294967294" count="1" selected="0">
            <x v="0"/>
          </reference>
          <reference field="3" count="1" selected="0">
            <x v="6"/>
          </reference>
        </references>
      </pivotArea>
    </chartFormat>
    <chartFormat chart="7" format="177">
      <pivotArea type="data" outline="0" fieldPosition="0">
        <references count="4">
          <reference field="4294967294" count="1" selected="0">
            <x v="0"/>
          </reference>
          <reference field="3" count="1" selected="0">
            <x v="6"/>
          </reference>
          <reference field="11" count="1" selected="0">
            <x v="0"/>
          </reference>
          <reference field="15" count="1" selected="0">
            <x v="0"/>
          </reference>
        </references>
      </pivotArea>
    </chartFormat>
    <chartFormat chart="7" format="178">
      <pivotArea type="data" outline="0" fieldPosition="0">
        <references count="4">
          <reference field="4294967294" count="1" selected="0">
            <x v="0"/>
          </reference>
          <reference field="3" count="1" selected="0">
            <x v="6"/>
          </reference>
          <reference field="11" count="1" selected="0">
            <x v="1"/>
          </reference>
          <reference field="15" count="1" selected="0">
            <x v="0"/>
          </reference>
        </references>
      </pivotArea>
    </chartFormat>
    <chartFormat chart="7" format="179">
      <pivotArea type="data" outline="0" fieldPosition="0">
        <references count="4">
          <reference field="4294967294" count="1" selected="0">
            <x v="0"/>
          </reference>
          <reference field="3" count="1" selected="0">
            <x v="6"/>
          </reference>
          <reference field="11" count="1" selected="0">
            <x v="2"/>
          </reference>
          <reference field="15" count="1" selected="0">
            <x v="0"/>
          </reference>
        </references>
      </pivotArea>
    </chartFormat>
    <chartFormat chart="7" format="180">
      <pivotArea type="data" outline="0" fieldPosition="0">
        <references count="4">
          <reference field="4294967294" count="1" selected="0">
            <x v="0"/>
          </reference>
          <reference field="3" count="1" selected="0">
            <x v="6"/>
          </reference>
          <reference field="11" count="1" selected="0">
            <x v="0"/>
          </reference>
          <reference field="15" count="1" selected="0">
            <x v="1"/>
          </reference>
        </references>
      </pivotArea>
    </chartFormat>
    <chartFormat chart="7" format="181">
      <pivotArea type="data" outline="0" fieldPosition="0">
        <references count="4">
          <reference field="4294967294" count="1" selected="0">
            <x v="0"/>
          </reference>
          <reference field="3" count="1" selected="0">
            <x v="6"/>
          </reference>
          <reference field="11" count="1" selected="0">
            <x v="1"/>
          </reference>
          <reference field="15" count="1" selected="0">
            <x v="1"/>
          </reference>
        </references>
      </pivotArea>
    </chartFormat>
    <chartFormat chart="7" format="182">
      <pivotArea type="data" outline="0" fieldPosition="0">
        <references count="4">
          <reference field="4294967294" count="1" selected="0">
            <x v="0"/>
          </reference>
          <reference field="3" count="1" selected="0">
            <x v="6"/>
          </reference>
          <reference field="11" count="1" selected="0">
            <x v="2"/>
          </reference>
          <reference field="15" count="1" selected="0">
            <x v="1"/>
          </reference>
        </references>
      </pivotArea>
    </chartFormat>
    <chartFormat chart="7" format="183">
      <pivotArea type="data" outline="0" fieldPosition="0">
        <references count="4">
          <reference field="4294967294" count="1" selected="0">
            <x v="0"/>
          </reference>
          <reference field="3" count="1" selected="0">
            <x v="6"/>
          </reference>
          <reference field="11" count="1" selected="0">
            <x v="0"/>
          </reference>
          <reference field="15" count="1" selected="0">
            <x v="2"/>
          </reference>
        </references>
      </pivotArea>
    </chartFormat>
    <chartFormat chart="7" format="184">
      <pivotArea type="data" outline="0" fieldPosition="0">
        <references count="4">
          <reference field="4294967294" count="1" selected="0">
            <x v="0"/>
          </reference>
          <reference field="3" count="1" selected="0">
            <x v="6"/>
          </reference>
          <reference field="11" count="1" selected="0">
            <x v="1"/>
          </reference>
          <reference field="15" count="1" selected="0">
            <x v="2"/>
          </reference>
        </references>
      </pivotArea>
    </chartFormat>
    <chartFormat chart="7" format="185">
      <pivotArea type="data" outline="0" fieldPosition="0">
        <references count="4">
          <reference field="4294967294" count="1" selected="0">
            <x v="0"/>
          </reference>
          <reference field="3" count="1" selected="0">
            <x v="6"/>
          </reference>
          <reference field="11" count="1" selected="0">
            <x v="2"/>
          </reference>
          <reference field="15" count="1" selected="0">
            <x v="2"/>
          </reference>
        </references>
      </pivotArea>
    </chartFormat>
    <chartFormat chart="7" format="186">
      <pivotArea type="data" outline="0" fieldPosition="0">
        <references count="4">
          <reference field="4294967294" count="1" selected="0">
            <x v="0"/>
          </reference>
          <reference field="3" count="1" selected="0">
            <x v="6"/>
          </reference>
          <reference field="11" count="1" selected="0">
            <x v="0"/>
          </reference>
          <reference field="15" count="1" selected="0">
            <x v="3"/>
          </reference>
        </references>
      </pivotArea>
    </chartFormat>
    <chartFormat chart="7" format="187">
      <pivotArea type="data" outline="0" fieldPosition="0">
        <references count="4">
          <reference field="4294967294" count="1" selected="0">
            <x v="0"/>
          </reference>
          <reference field="3" count="1" selected="0">
            <x v="6"/>
          </reference>
          <reference field="11" count="1" selected="0">
            <x v="1"/>
          </reference>
          <reference field="15" count="1" selected="0">
            <x v="3"/>
          </reference>
        </references>
      </pivotArea>
    </chartFormat>
    <chartFormat chart="7" format="188">
      <pivotArea type="data" outline="0" fieldPosition="0">
        <references count="4">
          <reference field="4294967294" count="1" selected="0">
            <x v="0"/>
          </reference>
          <reference field="3" count="1" selected="0">
            <x v="6"/>
          </reference>
          <reference field="11" count="1" selected="0">
            <x v="2"/>
          </reference>
          <reference field="15"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795CB3FA-4A0F-4342-BBAC-C1B7D9A3FABE}" name="PivotTable3" cacheId="19"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O65:AQ82" firstHeaderRow="1" firstDataRow="1" firstDataCol="0"/>
  <pivotHierarchies count="42">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Sheet1!$A$49:$R$98">
        <x15:activeTabTopLevelEntity name="[Range 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B1136FD3-BA91-440C-A226-2C97A8B7099D}" name="PivotTable13"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A62:AB66" firstHeaderRow="1" firstDataRow="1" firstDataCol="1"/>
  <pivotFields count="14">
    <pivotField showAll="0"/>
    <pivotField showAll="0"/>
    <pivotField showAll="0"/>
    <pivotField showAll="0"/>
    <pivotField numFmtId="166" showAll="0"/>
    <pivotField numFmtId="164" showAll="0"/>
    <pivotField numFmtId="167" showAll="0"/>
    <pivotField numFmtId="165" showAll="0"/>
    <pivotField showAll="0"/>
    <pivotField showAll="0"/>
    <pivotField showAll="0"/>
    <pivotField axis="axisRow" dataField="1" showAll="0">
      <items count="4">
        <item x="0"/>
        <item x="2"/>
        <item x="1"/>
        <item t="default"/>
      </items>
    </pivotField>
    <pivotField showAll="0"/>
    <pivotField numFmtId="2" showAll="0"/>
  </pivotFields>
  <rowFields count="1">
    <field x="11"/>
  </rowFields>
  <rowItems count="4">
    <i>
      <x/>
    </i>
    <i>
      <x v="1"/>
    </i>
    <i>
      <x v="2"/>
    </i>
    <i t="grand">
      <x/>
    </i>
  </rowItems>
  <colItems count="1">
    <i/>
  </colItems>
  <dataFields count="1">
    <dataField name="Count of CustomerGender" fld="11"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F16DD198-2061-4007-BA93-B9B4FDE32DA8}" name="PivotTable2" cacheId="37"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42">
  <location ref="U150:AA158" firstHeaderRow="1" firstDataRow="2" firstDataCol="1" rowPageCount="1" colPageCount="1"/>
  <pivotFields count="18">
    <pivotField showAll="0"/>
    <pivotField showAll="0"/>
    <pivotField showAll="0"/>
    <pivotField axis="axisRow" showAll="0">
      <items count="8">
        <item h="1" x="1"/>
        <item x="4"/>
        <item x="0"/>
        <item x="3"/>
        <item x="6"/>
        <item x="5"/>
        <item x="2"/>
        <item t="default"/>
      </items>
    </pivotField>
    <pivotField numFmtId="2" showAll="0"/>
    <pivotField numFmtId="164" showAll="0"/>
    <pivotField numFmtId="167" showAll="0"/>
    <pivotField numFmtId="165" showAll="0">
      <items count="50">
        <item x="47"/>
        <item x="33"/>
        <item x="46"/>
        <item x="11"/>
        <item x="42"/>
        <item x="6"/>
        <item x="29"/>
        <item x="26"/>
        <item x="36"/>
        <item x="22"/>
        <item x="34"/>
        <item x="39"/>
        <item x="43"/>
        <item x="13"/>
        <item x="2"/>
        <item x="12"/>
        <item x="9"/>
        <item x="38"/>
        <item x="0"/>
        <item x="3"/>
        <item x="30"/>
        <item x="35"/>
        <item x="24"/>
        <item x="14"/>
        <item x="18"/>
        <item x="25"/>
        <item x="5"/>
        <item x="21"/>
        <item x="1"/>
        <item x="28"/>
        <item x="31"/>
        <item x="20"/>
        <item x="7"/>
        <item x="19"/>
        <item x="41"/>
        <item x="10"/>
        <item x="45"/>
        <item x="48"/>
        <item x="17"/>
        <item x="4"/>
        <item x="32"/>
        <item x="16"/>
        <item x="44"/>
        <item x="27"/>
        <item x="8"/>
        <item x="23"/>
        <item x="15"/>
        <item x="37"/>
        <item x="40"/>
        <item t="default"/>
      </items>
    </pivotField>
    <pivotField axis="axisCol" showAll="0">
      <items count="6">
        <item x="2"/>
        <item x="0"/>
        <item x="3"/>
        <item x="1"/>
        <item x="4"/>
        <item t="default"/>
      </items>
    </pivotField>
    <pivotField showAll="0"/>
    <pivotField showAll="0"/>
    <pivotField showAll="0"/>
    <pivotField showAll="0"/>
    <pivotField numFmtId="2" showAll="0"/>
    <pivotField showAll="0"/>
    <pivotField axis="axisPage" multipleItemSelectionAllowed="1" showAll="0">
      <items count="5">
        <item x="2"/>
        <item x="0"/>
        <item x="1"/>
        <item x="3"/>
        <item t="default"/>
      </items>
    </pivotField>
    <pivotField dataField="1" numFmtId="2" showAll="0"/>
    <pivotField numFmtId="2" showAll="0"/>
  </pivotFields>
  <rowFields count="1">
    <field x="3"/>
  </rowFields>
  <rowItems count="7">
    <i>
      <x v="1"/>
    </i>
    <i>
      <x v="2"/>
    </i>
    <i>
      <x v="3"/>
    </i>
    <i>
      <x v="4"/>
    </i>
    <i>
      <x v="5"/>
    </i>
    <i>
      <x v="6"/>
    </i>
    <i t="grand">
      <x/>
    </i>
  </rowItems>
  <colFields count="1">
    <field x="8"/>
  </colFields>
  <colItems count="6">
    <i>
      <x/>
    </i>
    <i>
      <x v="1"/>
    </i>
    <i>
      <x v="2"/>
    </i>
    <i>
      <x v="3"/>
    </i>
    <i>
      <x v="4"/>
    </i>
    <i t="grand">
      <x/>
    </i>
  </colItems>
  <pageFields count="1">
    <pageField fld="15" hier="-1"/>
  </pageFields>
  <dataFields count="1">
    <dataField name="Sum of Sales" fld="16" baseField="0" baseItem="0" numFmtId="2"/>
  </dataFields>
  <chartFormats count="24">
    <chartFormat chart="0" format="0" series="1">
      <pivotArea type="data" outline="0" fieldPosition="0">
        <references count="2">
          <reference field="4294967294" count="1" selected="0">
            <x v="0"/>
          </reference>
          <reference field="8" count="1" selected="0">
            <x v="0"/>
          </reference>
        </references>
      </pivotArea>
    </chartFormat>
    <chartFormat chart="0" format="1" series="1">
      <pivotArea type="data" outline="0" fieldPosition="0">
        <references count="2">
          <reference field="4294967294" count="1" selected="0">
            <x v="0"/>
          </reference>
          <reference field="8" count="1" selected="0">
            <x v="1"/>
          </reference>
        </references>
      </pivotArea>
    </chartFormat>
    <chartFormat chart="0" format="2" series="1">
      <pivotArea type="data" outline="0" fieldPosition="0">
        <references count="2">
          <reference field="4294967294" count="1" selected="0">
            <x v="0"/>
          </reference>
          <reference field="8" count="1" selected="0">
            <x v="2"/>
          </reference>
        </references>
      </pivotArea>
    </chartFormat>
    <chartFormat chart="0" format="3" series="1">
      <pivotArea type="data" outline="0" fieldPosition="0">
        <references count="2">
          <reference field="4294967294" count="1" selected="0">
            <x v="0"/>
          </reference>
          <reference field="8" count="1" selected="0">
            <x v="3"/>
          </reference>
        </references>
      </pivotArea>
    </chartFormat>
    <chartFormat chart="0" format="4" series="1">
      <pivotArea type="data" outline="0" fieldPosition="0">
        <references count="2">
          <reference field="4294967294" count="1" selected="0">
            <x v="0"/>
          </reference>
          <reference field="8" count="1" selected="0">
            <x v="4"/>
          </reference>
        </references>
      </pivotArea>
    </chartFormat>
    <chartFormat chart="11" format="0" series="1">
      <pivotArea type="data" outline="0" fieldPosition="0">
        <references count="2">
          <reference field="4294967294" count="1" selected="0">
            <x v="0"/>
          </reference>
          <reference field="8" count="1" selected="0">
            <x v="0"/>
          </reference>
        </references>
      </pivotArea>
    </chartFormat>
    <chartFormat chart="11" format="1" series="1">
      <pivotArea type="data" outline="0" fieldPosition="0">
        <references count="2">
          <reference field="4294967294" count="1" selected="0">
            <x v="0"/>
          </reference>
          <reference field="8" count="1" selected="0">
            <x v="1"/>
          </reference>
        </references>
      </pivotArea>
    </chartFormat>
    <chartFormat chart="11" format="2" series="1">
      <pivotArea type="data" outline="0" fieldPosition="0">
        <references count="2">
          <reference field="4294967294" count="1" selected="0">
            <x v="0"/>
          </reference>
          <reference field="8" count="1" selected="0">
            <x v="2"/>
          </reference>
        </references>
      </pivotArea>
    </chartFormat>
    <chartFormat chart="11" format="3" series="1">
      <pivotArea type="data" outline="0" fieldPosition="0">
        <references count="2">
          <reference field="4294967294" count="1" selected="0">
            <x v="0"/>
          </reference>
          <reference field="8" count="1" selected="0">
            <x v="3"/>
          </reference>
        </references>
      </pivotArea>
    </chartFormat>
    <chartFormat chart="11" format="4" series="1">
      <pivotArea type="data" outline="0" fieldPosition="0">
        <references count="2">
          <reference field="4294967294" count="1" selected="0">
            <x v="0"/>
          </reference>
          <reference field="8" count="1" selected="0">
            <x v="4"/>
          </reference>
        </references>
      </pivotArea>
    </chartFormat>
    <chartFormat chart="15" format="10" series="1">
      <pivotArea type="data" outline="0" fieldPosition="0">
        <references count="2">
          <reference field="4294967294" count="1" selected="0">
            <x v="0"/>
          </reference>
          <reference field="8" count="1" selected="0">
            <x v="0"/>
          </reference>
        </references>
      </pivotArea>
    </chartFormat>
    <chartFormat chart="15" format="11" series="1">
      <pivotArea type="data" outline="0" fieldPosition="0">
        <references count="2">
          <reference field="4294967294" count="1" selected="0">
            <x v="0"/>
          </reference>
          <reference field="8" count="1" selected="0">
            <x v="1"/>
          </reference>
        </references>
      </pivotArea>
    </chartFormat>
    <chartFormat chart="15" format="12" series="1">
      <pivotArea type="data" outline="0" fieldPosition="0">
        <references count="2">
          <reference field="4294967294" count="1" selected="0">
            <x v="0"/>
          </reference>
          <reference field="8" count="1" selected="0">
            <x v="2"/>
          </reference>
        </references>
      </pivotArea>
    </chartFormat>
    <chartFormat chart="15" format="13" series="1">
      <pivotArea type="data" outline="0" fieldPosition="0">
        <references count="2">
          <reference field="4294967294" count="1" selected="0">
            <x v="0"/>
          </reference>
          <reference field="8" count="1" selected="0">
            <x v="3"/>
          </reference>
        </references>
      </pivotArea>
    </chartFormat>
    <chartFormat chart="15" format="14" series="1">
      <pivotArea type="data" outline="0" fieldPosition="0">
        <references count="2">
          <reference field="4294967294" count="1" selected="0">
            <x v="0"/>
          </reference>
          <reference field="8" count="1" selected="0">
            <x v="4"/>
          </reference>
        </references>
      </pivotArea>
    </chartFormat>
    <chartFormat chart="27" format="10" series="1">
      <pivotArea type="data" outline="0" fieldPosition="0">
        <references count="2">
          <reference field="4294967294" count="1" selected="0">
            <x v="0"/>
          </reference>
          <reference field="8" count="1" selected="0">
            <x v="0"/>
          </reference>
        </references>
      </pivotArea>
    </chartFormat>
    <chartFormat chart="27" format="11" series="1">
      <pivotArea type="data" outline="0" fieldPosition="0">
        <references count="2">
          <reference field="4294967294" count="1" selected="0">
            <x v="0"/>
          </reference>
          <reference field="8" count="1" selected="0">
            <x v="1"/>
          </reference>
        </references>
      </pivotArea>
    </chartFormat>
    <chartFormat chart="27" format="12" series="1">
      <pivotArea type="data" outline="0" fieldPosition="0">
        <references count="2">
          <reference field="4294967294" count="1" selected="0">
            <x v="0"/>
          </reference>
          <reference field="8" count="1" selected="0">
            <x v="2"/>
          </reference>
        </references>
      </pivotArea>
    </chartFormat>
    <chartFormat chart="27" format="13" series="1">
      <pivotArea type="data" outline="0" fieldPosition="0">
        <references count="2">
          <reference field="4294967294" count="1" selected="0">
            <x v="0"/>
          </reference>
          <reference field="8" count="1" selected="0">
            <x v="3"/>
          </reference>
        </references>
      </pivotArea>
    </chartFormat>
    <chartFormat chart="27" format="14" series="1">
      <pivotArea type="data" outline="0" fieldPosition="0">
        <references count="2">
          <reference field="4294967294" count="1" selected="0">
            <x v="0"/>
          </reference>
          <reference field="8" count="1" selected="0">
            <x v="4"/>
          </reference>
        </references>
      </pivotArea>
    </chartFormat>
    <chartFormat chart="27" format="15" series="1">
      <pivotArea type="data" outline="0" fieldPosition="0">
        <references count="1">
          <reference field="4294967294" count="1" selected="0">
            <x v="0"/>
          </reference>
        </references>
      </pivotArea>
    </chartFormat>
    <chartFormat chart="15" format="15" series="1">
      <pivotArea type="data" outline="0" fieldPosition="0">
        <references count="1">
          <reference field="4294967294" count="1" selected="0">
            <x v="0"/>
          </reference>
        </references>
      </pivotArea>
    </chartFormat>
    <chartFormat chart="11" format="5" series="1">
      <pivotArea type="data" outline="0" fieldPosition="0">
        <references count="1">
          <reference field="4294967294" count="1" selected="0">
            <x v="0"/>
          </reference>
        </references>
      </pivotArea>
    </chartFormat>
    <chartFormat chart="0" format="5"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27C8980A-BCCC-49E5-B61F-949E5183DEF2}" name="PivotTable7"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A54:AB60" firstHeaderRow="1" firstDataRow="1" firstDataCol="1"/>
  <pivotFields count="14">
    <pivotField showAll="0"/>
    <pivotField showAll="0"/>
    <pivotField showAll="0"/>
    <pivotField showAll="0"/>
    <pivotField numFmtId="166" showAll="0"/>
    <pivotField dataField="1" numFmtId="164" showAll="0"/>
    <pivotField numFmtId="167" showAll="0"/>
    <pivotField numFmtId="165" showAll="0"/>
    <pivotField axis="axisRow" showAll="0">
      <items count="6">
        <item x="2"/>
        <item x="0"/>
        <item x="3"/>
        <item x="1"/>
        <item x="4"/>
        <item t="default"/>
      </items>
    </pivotField>
    <pivotField showAll="0"/>
    <pivotField showAll="0"/>
    <pivotField showAll="0"/>
    <pivotField showAll="0"/>
    <pivotField numFmtId="2" showAll="0"/>
  </pivotFields>
  <rowFields count="1">
    <field x="8"/>
  </rowFields>
  <rowItems count="6">
    <i>
      <x/>
    </i>
    <i>
      <x v="1"/>
    </i>
    <i>
      <x v="2"/>
    </i>
    <i>
      <x v="3"/>
    </i>
    <i>
      <x v="4"/>
    </i>
    <i t="grand">
      <x/>
    </i>
  </rowItems>
  <colItems count="1">
    <i/>
  </colItems>
  <dataFields count="1">
    <dataField name="Sum of Price" fld="5" baseField="0" baseItem="0" numFmtId="164"/>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uctCategory" xr10:uid="{9C63D684-49EE-4243-98F8-C78C27C59404}" sourceName="ProductCategory">
  <pivotTables>
    <pivotTable tabId="12" name="PivotTable54"/>
  </pivotTables>
  <data>
    <tabular pivotCacheId="1501637475">
      <items count="7">
        <i x="1" s="1"/>
        <i x="4" s="1"/>
        <i x="0" s="1"/>
        <i x="3" s="1"/>
        <i x="6" s="1"/>
        <i x="5" s="1"/>
        <i x="2"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Quantity" xr10:uid="{F47341E9-2313-465A-B758-273D053BD8FB}" sourceName="Quantity">
  <pivotTables>
    <pivotTable tabId="12" name="PivotTable54"/>
  </pivotTables>
  <data>
    <tabular pivotCacheId="1501637475">
      <items count="4">
        <i x="0"/>
        <i x="1"/>
        <i x="2" s="1"/>
        <i x="3"/>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aymentMethod" xr10:uid="{FFE869F2-B72E-4099-9E84-24981101BDA3}" sourceName="PaymentMethod">
  <pivotTables>
    <pivotTable tabId="1" name="PivotTable2"/>
    <pivotTable tabId="1" name="PivotTable6"/>
  </pivotTables>
  <data>
    <tabular pivotCacheId="1501637475">
      <items count="5">
        <i x="2" s="1"/>
        <i x="0" s="1"/>
        <i x="3" s="1"/>
        <i x="1" s="1"/>
        <i x="4"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ProductCategory" xr10:uid="{43964EEB-D11E-4B77-963D-35822719874A}" cache="Slicer_ProductCategory" caption="ProductCategory" rowHeight="241300"/>
  <slicer name="Quantity" xr10:uid="{F927F85D-334F-488F-B674-06B06202CC5D}" cache="Slicer_Quantity" caption="Quantity" rowHeight="24130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PaymentMethod" xr10:uid="{9474AFA7-1F1F-4124-82C2-841DDEAC1ADE}" cache="Slicer_PaymentMethod" caption="PaymentMethod"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1472C04C-EA70-481B-AF19-F59B12CC0349}" name="Table1" displayName="Table1" ref="J11:L18" totalsRowShown="0" headerRowDxfId="60">
  <autoFilter ref="J11:L18" xr:uid="{1472C04C-EA70-481B-AF19-F59B12CC0349}"/>
  <tableColumns count="3">
    <tableColumn id="1" xr3:uid="{454D6866-C375-44F7-9DBE-A9F66E2EE154}" name="ProductId"/>
    <tableColumn id="2" xr3:uid="{72E53A66-50CF-4747-92A7-33747E9FCE50}" name="ProductName" dataDxfId="59"/>
    <tableColumn id="3" xr3:uid="{53A4DCEA-8AF1-476A-870A-E67EE763B8E1}" name="price"/>
  </tableColumns>
  <tableStyleInfo name="TableStyleMedium9"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E41B40B5-FD34-4D02-8C24-D239CB7F3BDB}" name="Table2" displayName="Table2" ref="H1:M4" totalsRowShown="0" headerRowDxfId="58" dataDxfId="57">
  <autoFilter ref="H1:M4" xr:uid="{E41B40B5-FD34-4D02-8C24-D239CB7F3BDB}"/>
  <tableColumns count="6">
    <tableColumn id="1" xr3:uid="{AD55C4A3-C2C9-4E76-9F94-BC8A9C3C6F59}" name="Product" dataDxfId="56"/>
    <tableColumn id="2" xr3:uid="{2E7B0FE2-C8D9-48FA-A399-C5574007CD92}" name="A" dataDxfId="55"/>
    <tableColumn id="3" xr3:uid="{FC2284A9-90B6-4051-A8E8-D55B28953163}" name="B" dataDxfId="54"/>
    <tableColumn id="4" xr3:uid="{0DADCA54-BDA4-43AC-8390-50DD33B3C87F}" name="C" dataDxfId="53"/>
    <tableColumn id="5" xr3:uid="{6A46F2A6-D66C-4A80-A65C-48DDEA6E05F7}" name="D" dataDxfId="52"/>
    <tableColumn id="6" xr3:uid="{AF5B252E-7672-43F0-ACF6-ADD2AC5B726C}" name="Hlookup"/>
  </tableColumns>
  <tableStyleInfo name="TableStyleMedium2"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AFD87927-5DEF-403D-852F-E5C4674ACCB8}" name="Table3" displayName="Table3" ref="P1:AB21" totalsRowShown="0" headerRowDxfId="51" dataDxfId="50">
  <autoFilter ref="P1:AB21" xr:uid="{AFD87927-5DEF-403D-852F-E5C4674ACCB8}"/>
  <tableColumns count="13">
    <tableColumn id="1" xr3:uid="{918E29F9-D354-4FCD-94E2-A63EF3FF119A}" name="Emp ID" dataDxfId="49"/>
    <tableColumn id="2" xr3:uid="{61640B60-4EE3-429E-86DC-ED1802A3D925}" name="Name" dataDxfId="48"/>
    <tableColumn id="3" xr3:uid="{7A0E1E1C-BE99-4532-9A39-1BAF39E6C8B3}" name="Department" dataDxfId="47"/>
    <tableColumn id="4" xr3:uid="{D0286011-7D07-4F02-A951-B2F5A4F09E56}" name="City" dataDxfId="46"/>
    <tableColumn id="5" xr3:uid="{FF141826-90F9-4B4E-BE8B-E823DBE0E608}" name="Experience" dataDxfId="45"/>
    <tableColumn id="6" xr3:uid="{CD2CF6DA-DDAC-4E21-B006-72DCDEC57188}" name="Salary" dataDxfId="44"/>
    <tableColumn id="7" xr3:uid="{015B9C35-80DD-471A-A960-6B740B1F5779}" name="increment(AND)" dataDxfId="43">
      <calculatedColumnFormula>AND(Table3[[#This Row],[Experience]]&gt;4,Table3[[#This Row],[Salary]]&gt;40000)</calculatedColumnFormula>
    </tableColumn>
    <tableColumn id="9" xr3:uid="{76C49286-FA01-4E62-8621-15C159687147}" name="salaryy" dataDxfId="42">
      <calculatedColumnFormula>IF(Table3[[#This Row],[Salary]]&gt;50000,"high","low")</calculatedColumnFormula>
    </tableColumn>
    <tableColumn id="12" xr3:uid="{473A6B1F-6723-437D-9554-5A7E29097B31}" name="bonus" dataDxfId="41">
      <calculatedColumnFormula>OR(Table3[[#This Row],[Salary]]&lt;50000,Table3[[#This Row],[Experience]]&lt;3)</calculatedColumnFormula>
    </tableColumn>
    <tableColumn id="13" xr3:uid="{0CBAFF08-F6CC-4527-AAFE-7D5CDAA04B29}" name="not" dataDxfId="40">
      <calculatedColumnFormula>NOT(Table3[[#This Row],[bonus]])</calculatedColumnFormula>
    </tableColumn>
    <tableColumn id="14" xr3:uid="{64E8305D-E7B7-4F3F-AA9E-CF1FBFD5D0CF}" name="x-or" dataDxfId="39">
      <calculatedColumnFormula>_xlfn.XOR(Table3[[#This Row],[Salary]]&gt;=30000,Table3[[#This Row],[Experience]]&gt;=5)</calculatedColumnFormula>
    </tableColumn>
    <tableColumn id="15" xr3:uid="{6302E394-0141-464B-BF95-770A60531936}" name="if+xor" dataDxfId="38">
      <calculatedColumnFormula>IF(_xlfn.XOR(Table3[[#This Row],[Salary]]&gt;=30000,Table3[[#This Row],[Experience]]&gt;=5),"Reward","no Reward")</calculatedColumnFormula>
    </tableColumn>
    <tableColumn id="16" xr3:uid="{C80B7DE3-0BA7-4A80-9F2E-5DB231F0436E}" name="ColumSn1" dataDxfId="37"/>
  </tableColumns>
  <tableStyleInfo name="TableStyleMedium2"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33D12B05-0393-41FB-AC24-CB98AF9B4248}" name="Table4" displayName="Table4" ref="AC53:AF70" totalsRowShown="0">
  <autoFilter ref="AC53:AF70" xr:uid="{33D12B05-0393-41FB-AC24-CB98AF9B4248}"/>
  <tableColumns count="4">
    <tableColumn id="1" xr3:uid="{29799441-4A43-427F-8240-5CABB1997006}" name="Column1"/>
    <tableColumn id="2" xr3:uid="{AC9714B7-755B-4CE5-9E5D-9573D2C4635D}" name="Column2"/>
    <tableColumn id="3" xr3:uid="{F1C537DD-561E-4512-83AF-C81BC7AA2908}" name="Column3" dataDxfId="36"/>
    <tableColumn id="4" xr3:uid="{9AA83F2C-B03E-4217-A883-C8C7E2390D73}" name="Column4" dataDxfId="35"/>
  </tableColumns>
  <tableStyleInfo name="TableStyleLight2"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E980D99A-206C-4F62-AF3D-5D6D9C5AECCC}" name="Table5" displayName="Table5" ref="AA47:AB49" totalsRowShown="0">
  <autoFilter ref="AA47:AB49" xr:uid="{E980D99A-206C-4F62-AF3D-5D6D9C5AECCC}"/>
  <tableColumns count="2">
    <tableColumn id="1" xr3:uid="{D27C94B9-E020-49F4-84D6-DA07E84049A8}" name="thousand separator" dataDxfId="34"/>
    <tableColumn id="2" xr3:uid="{2B92DF6B-C9EC-4141-A091-84F8B695F797}" name="1,23,456.00"/>
  </tableColumns>
  <tableStyleInfo name="TableStyleLight2"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671DFFD5-E7FA-44CF-9C14-407F4119C398}" name="Table6" displayName="Table6" ref="S49:S54" totalsRowShown="0" headerRowDxfId="33" dataDxfId="32" tableBorderDxfId="31">
  <autoFilter ref="S49:S54" xr:uid="{671DFFD5-E7FA-44CF-9C14-407F4119C398}"/>
  <tableColumns count="1">
    <tableColumn id="1" xr3:uid="{151F4ADA-74F1-4CBC-B323-845E92E3F859}" name="Bins" dataDxfId="30"/>
  </tableColumns>
  <tableStyleInfo name="TableStyleLight2"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47442DD8-BCBD-4876-ACCF-D3421D1E24AC}" name="Table7" displayName="Table7" ref="T49:X65" totalsRowShown="0" headerRowDxfId="29" headerRowBorderDxfId="28">
  <autoFilter ref="T49:X65" xr:uid="{47442DD8-BCBD-4876-ACCF-D3421D1E24AC}"/>
  <tableColumns count="5">
    <tableColumn id="1" xr3:uid="{885E6B88-E728-4AF2-91BE-EA47CFB142B6}" name="Column1" dataDxfId="27"/>
    <tableColumn id="2" xr3:uid="{EA53E386-92C2-4E01-9BF2-7C264D02A329}" name="Column2" dataDxfId="26"/>
    <tableColumn id="3" xr3:uid="{86F76A52-C754-4BBF-B60E-ED9E95BC0FBB}" name="Column3"/>
    <tableColumn id="4" xr3:uid="{7151B9FA-EDEC-44CC-AC09-D12EB2B65B80}" name="Column4"/>
    <tableColumn id="5" xr3:uid="{792C94AF-1462-44CB-9A3A-4A6EEFA22FF9}" name="Column5"/>
  </tableColumns>
  <tableStyleInfo name="TableStyleLight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imelineCaches/timelineCache1.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NativeTimeline_TransactionDate" xr10:uid="{EB5E5818-BC87-462D-A06D-AFCCAD696883}" sourceName="TransactionDate">
  <pivotTables>
    <pivotTable tabId="1" name="PivotTable2"/>
  </pivotTables>
  <state minimalRefreshVersion="6" lastRefreshVersion="6" pivotCacheId="1501637475" filterType="unknown">
    <bounds startDate="2023-01-01T13:03:06" endDate="2025-01-01T07:33:38"/>
  </state>
</timelineCacheDefinition>
</file>

<file path=xl/timelines/timeline1.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TransactionDate" xr10:uid="{EDCCC12B-3F05-41FF-8878-821A56B9C47A}" cache="NativeTimeline_TransactionDate" caption="TransactionDate" level="1" selectionLevel="1" scrollPosition="2023-01-01T00:00:00"/>
</timelines>
</file>

<file path=xl/worksheets/_rels/sheet1.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printerSettings" Target="../printerSettings/printerSettings1.bin"/><Relationship Id="rId1" Type="http://schemas.openxmlformats.org/officeDocument/2006/relationships/pivotTable" Target="../pivotTables/pivotTable1.xml"/><Relationship Id="rId4" Type="http://schemas.microsoft.com/office/2007/relationships/slicer" Target="../slicers/slicer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6.xml.rels><?xml version="1.0" encoding="UTF-8" standalone="yes"?>
<Relationships xmlns="http://schemas.openxmlformats.org/package/2006/relationships"><Relationship Id="rId8" Type="http://schemas.openxmlformats.org/officeDocument/2006/relationships/table" Target="../tables/table1.xml"/><Relationship Id="rId13" Type="http://schemas.openxmlformats.org/officeDocument/2006/relationships/table" Target="../tables/table6.xml"/><Relationship Id="rId3" Type="http://schemas.openxmlformats.org/officeDocument/2006/relationships/pivotTable" Target="../pivotTables/pivotTable4.xml"/><Relationship Id="rId7" Type="http://schemas.openxmlformats.org/officeDocument/2006/relationships/drawing" Target="../drawings/drawing4.xml"/><Relationship Id="rId12" Type="http://schemas.openxmlformats.org/officeDocument/2006/relationships/table" Target="../tables/table5.xml"/><Relationship Id="rId2" Type="http://schemas.openxmlformats.org/officeDocument/2006/relationships/pivotTable" Target="../pivotTables/pivotTable3.xml"/><Relationship Id="rId16" Type="http://schemas.microsoft.com/office/2011/relationships/timeline" Target="../timelines/timeline1.xml"/><Relationship Id="rId1" Type="http://schemas.openxmlformats.org/officeDocument/2006/relationships/pivotTable" Target="../pivotTables/pivotTable2.xml"/><Relationship Id="rId6" Type="http://schemas.openxmlformats.org/officeDocument/2006/relationships/printerSettings" Target="../printerSettings/printerSettings2.bin"/><Relationship Id="rId11" Type="http://schemas.openxmlformats.org/officeDocument/2006/relationships/table" Target="../tables/table4.xml"/><Relationship Id="rId5" Type="http://schemas.openxmlformats.org/officeDocument/2006/relationships/pivotTable" Target="../pivotTables/pivotTable6.xml"/><Relationship Id="rId15" Type="http://schemas.microsoft.com/office/2007/relationships/slicer" Target="../slicers/slicer2.xml"/><Relationship Id="rId10" Type="http://schemas.openxmlformats.org/officeDocument/2006/relationships/table" Target="../tables/table3.xml"/><Relationship Id="rId4" Type="http://schemas.openxmlformats.org/officeDocument/2006/relationships/pivotTable" Target="../pivotTables/pivotTable5.xml"/><Relationship Id="rId9" Type="http://schemas.openxmlformats.org/officeDocument/2006/relationships/table" Target="../tables/table2.xml"/><Relationship Id="rId14" Type="http://schemas.openxmlformats.org/officeDocument/2006/relationships/table" Target="../tables/table7.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1E85249-E81E-4377-9119-86516CA26916}">
  <dimension ref="A3:B11"/>
  <sheetViews>
    <sheetView tabSelected="1" zoomScaleNormal="100" workbookViewId="0">
      <selection activeCell="A16" sqref="A16"/>
    </sheetView>
  </sheetViews>
  <sheetFormatPr defaultRowHeight="15" x14ac:dyDescent="0.25"/>
  <cols>
    <col min="1" max="1" width="29.28515625" bestFit="1" customWidth="1"/>
    <col min="2" max="2" width="29.85546875" bestFit="1" customWidth="1"/>
    <col min="3" max="3" width="15.42578125" bestFit="1" customWidth="1"/>
  </cols>
  <sheetData>
    <row r="3" spans="1:2" x14ac:dyDescent="0.25">
      <c r="A3" s="23" t="s">
        <v>184</v>
      </c>
      <c r="B3" t="s">
        <v>206</v>
      </c>
    </row>
    <row r="4" spans="1:2" x14ac:dyDescent="0.25">
      <c r="A4" s="24" t="s">
        <v>122</v>
      </c>
      <c r="B4" s="31">
        <v>0.21</v>
      </c>
    </row>
    <row r="5" spans="1:2" x14ac:dyDescent="0.25">
      <c r="A5" s="24" t="s">
        <v>134</v>
      </c>
      <c r="B5" s="31">
        <v>0.18</v>
      </c>
    </row>
    <row r="6" spans="1:2" x14ac:dyDescent="0.25">
      <c r="A6" s="24" t="s">
        <v>117</v>
      </c>
      <c r="B6" s="31">
        <v>0.16999999999999998</v>
      </c>
    </row>
    <row r="7" spans="1:2" x14ac:dyDescent="0.25">
      <c r="A7" s="24" t="s">
        <v>132</v>
      </c>
      <c r="B7" s="31">
        <v>0.52</v>
      </c>
    </row>
    <row r="8" spans="1:2" x14ac:dyDescent="0.25">
      <c r="A8" s="24" t="s">
        <v>146</v>
      </c>
      <c r="B8" s="31">
        <v>0.14000000000000001</v>
      </c>
    </row>
    <row r="9" spans="1:2" x14ac:dyDescent="0.25">
      <c r="A9" s="24" t="s">
        <v>139</v>
      </c>
      <c r="B9" s="31">
        <v>0.26</v>
      </c>
    </row>
    <row r="10" spans="1:2" x14ac:dyDescent="0.25">
      <c r="A10" s="24" t="s">
        <v>127</v>
      </c>
      <c r="B10" s="31">
        <v>0.53</v>
      </c>
    </row>
    <row r="11" spans="1:2" x14ac:dyDescent="0.25">
      <c r="A11" s="24" t="s">
        <v>186</v>
      </c>
      <c r="B11" s="31">
        <v>2.0100000000000002</v>
      </c>
    </row>
  </sheetData>
  <pageMargins left="0.7" right="0.7" top="0.75" bottom="0.75" header="0.3" footer="0.3"/>
  <pageSetup orientation="portrait" r:id="rId2"/>
  <drawing r:id="rId3"/>
  <extLst>
    <ext xmlns:x14="http://schemas.microsoft.com/office/spreadsheetml/2009/9/main" uri="{A8765BA9-456A-4dab-B4F3-ACF838C121DE}">
      <x14:slicerList>
        <x14:slicer r:id="rId4"/>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A929E52-0672-4D92-A7AF-109B900661EE}">
  <dimension ref="A1:I74"/>
  <sheetViews>
    <sheetView zoomScale="130" zoomScaleNormal="130" workbookViewId="0">
      <selection activeCell="E26" sqref="E26"/>
    </sheetView>
  </sheetViews>
  <sheetFormatPr defaultRowHeight="15" x14ac:dyDescent="0.25"/>
  <cols>
    <col min="1" max="1" width="23.5703125" customWidth="1"/>
    <col min="2" max="2" width="15.85546875" customWidth="1"/>
    <col min="3" max="3" width="13.140625" customWidth="1"/>
    <col min="4" max="4" width="11.85546875" customWidth="1"/>
    <col min="5" max="5" width="11.5703125" customWidth="1"/>
    <col min="6" max="6" width="18.42578125" customWidth="1"/>
    <col min="7" max="7" width="11.7109375" customWidth="1"/>
    <col min="8" max="8" width="13.140625" customWidth="1"/>
    <col min="9" max="9" width="15.7109375" customWidth="1"/>
  </cols>
  <sheetData>
    <row r="1" spans="1:9" ht="26.25" customHeight="1" thickBot="1" x14ac:dyDescent="0.3">
      <c r="A1" s="1" t="s">
        <v>227</v>
      </c>
    </row>
    <row r="2" spans="1:9" ht="15.75" hidden="1" thickBot="1" x14ac:dyDescent="0.3"/>
    <row r="3" spans="1:9" x14ac:dyDescent="0.25">
      <c r="A3" s="51" t="s">
        <v>228</v>
      </c>
      <c r="B3" s="48"/>
    </row>
    <row r="4" spans="1:9" x14ac:dyDescent="0.25">
      <c r="A4" t="s">
        <v>229</v>
      </c>
      <c r="B4">
        <v>0.12305758859716104</v>
      </c>
    </row>
    <row r="5" spans="1:9" x14ac:dyDescent="0.25">
      <c r="A5" t="s">
        <v>230</v>
      </c>
      <c r="B5">
        <v>1.514317011134814E-2</v>
      </c>
    </row>
    <row r="6" spans="1:9" x14ac:dyDescent="0.25">
      <c r="A6" t="s">
        <v>231</v>
      </c>
      <c r="B6">
        <v>-5.2006159199241765E-2</v>
      </c>
    </row>
    <row r="7" spans="1:9" x14ac:dyDescent="0.25">
      <c r="A7" t="s">
        <v>208</v>
      </c>
      <c r="B7">
        <v>1800.8577885562729</v>
      </c>
    </row>
    <row r="8" spans="1:9" ht="15.75" thickBot="1" x14ac:dyDescent="0.3">
      <c r="A8" s="46" t="s">
        <v>232</v>
      </c>
      <c r="B8" s="46">
        <v>48</v>
      </c>
    </row>
    <row r="10" spans="1:9" ht="15.75" thickBot="1" x14ac:dyDescent="0.3">
      <c r="A10" s="1" t="s">
        <v>233</v>
      </c>
    </row>
    <row r="11" spans="1:9" x14ac:dyDescent="0.25">
      <c r="A11" s="47"/>
      <c r="B11" s="49" t="s">
        <v>238</v>
      </c>
      <c r="C11" s="49" t="s">
        <v>239</v>
      </c>
      <c r="D11" s="49" t="s">
        <v>240</v>
      </c>
      <c r="E11" s="49" t="s">
        <v>241</v>
      </c>
      <c r="F11" s="49" t="s">
        <v>242</v>
      </c>
    </row>
    <row r="12" spans="1:9" x14ac:dyDescent="0.25">
      <c r="A12" s="1" t="s">
        <v>234</v>
      </c>
      <c r="B12">
        <v>3</v>
      </c>
      <c r="C12">
        <v>2194093.9174332321</v>
      </c>
      <c r="D12">
        <v>731364.63914441073</v>
      </c>
      <c r="E12">
        <v>0.22551483785199866</v>
      </c>
      <c r="F12">
        <v>0.87814492644035591</v>
      </c>
    </row>
    <row r="13" spans="1:9" x14ac:dyDescent="0.25">
      <c r="A13" s="1" t="s">
        <v>235</v>
      </c>
      <c r="B13">
        <v>44</v>
      </c>
      <c r="C13">
        <v>142695906.08256677</v>
      </c>
      <c r="D13">
        <v>3243088.7746037901</v>
      </c>
    </row>
    <row r="14" spans="1:9" ht="15.75" thickBot="1" x14ac:dyDescent="0.3">
      <c r="A14" s="50" t="s">
        <v>236</v>
      </c>
      <c r="B14" s="46">
        <v>47</v>
      </c>
      <c r="C14" s="46">
        <v>144890000</v>
      </c>
      <c r="D14" s="46"/>
      <c r="E14" s="46"/>
      <c r="F14" s="46"/>
    </row>
    <row r="15" spans="1:9" ht="15.75" thickBot="1" x14ac:dyDescent="0.3"/>
    <row r="16" spans="1:9" x14ac:dyDescent="0.25">
      <c r="A16" s="47"/>
      <c r="B16" s="49" t="s">
        <v>243</v>
      </c>
      <c r="C16" s="49" t="s">
        <v>208</v>
      </c>
      <c r="D16" s="49" t="s">
        <v>244</v>
      </c>
      <c r="E16" s="49" t="s">
        <v>245</v>
      </c>
      <c r="F16" s="49" t="s">
        <v>246</v>
      </c>
      <c r="G16" s="49" t="s">
        <v>247</v>
      </c>
      <c r="H16" s="49" t="s">
        <v>248</v>
      </c>
      <c r="I16" s="49" t="s">
        <v>249</v>
      </c>
    </row>
    <row r="17" spans="1:9" x14ac:dyDescent="0.25">
      <c r="A17" s="1" t="s">
        <v>237</v>
      </c>
      <c r="B17">
        <v>5386.1431933643844</v>
      </c>
      <c r="C17">
        <v>971.24369262144728</v>
      </c>
      <c r="D17">
        <v>5.5456145911504953</v>
      </c>
      <c r="E17">
        <v>1.563175140454208E-6</v>
      </c>
      <c r="F17">
        <v>3428.7301483720926</v>
      </c>
      <c r="G17">
        <v>7343.5562383566757</v>
      </c>
      <c r="H17">
        <v>3428.7301483720926</v>
      </c>
      <c r="I17">
        <v>7343.5562383566757</v>
      </c>
    </row>
    <row r="18" spans="1:9" x14ac:dyDescent="0.25">
      <c r="A18">
        <v>1</v>
      </c>
      <c r="B18">
        <v>-14.8024659888003</v>
      </c>
      <c r="C18">
        <v>241.04925009201227</v>
      </c>
      <c r="D18">
        <v>-6.1408471435401547E-2</v>
      </c>
      <c r="E18">
        <v>0.95131200392623161</v>
      </c>
      <c r="F18">
        <v>-500.60530846822752</v>
      </c>
      <c r="G18">
        <v>471.00037649062693</v>
      </c>
      <c r="H18">
        <v>-500.60530846822752</v>
      </c>
      <c r="I18">
        <v>471.00037649062693</v>
      </c>
    </row>
    <row r="19" spans="1:9" x14ac:dyDescent="0.25">
      <c r="A19">
        <v>801.66</v>
      </c>
      <c r="B19">
        <v>-0.79765727639352701</v>
      </c>
      <c r="C19">
        <v>0.98356789414378953</v>
      </c>
      <c r="D19">
        <v>-0.81098344216277973</v>
      </c>
      <c r="E19">
        <v>0.42174039126301854</v>
      </c>
      <c r="F19">
        <v>-2.7799081175148581</v>
      </c>
      <c r="G19">
        <v>1.1845935647278039</v>
      </c>
      <c r="H19">
        <v>-2.7799081175148581</v>
      </c>
      <c r="I19">
        <v>1.1845935647278039</v>
      </c>
    </row>
    <row r="20" spans="1:9" ht="15.75" thickBot="1" x14ac:dyDescent="0.3">
      <c r="A20" s="46">
        <v>0.13</v>
      </c>
      <c r="B20" s="46">
        <v>448.52940415072266</v>
      </c>
      <c r="C20" s="46">
        <v>2944.1463763840002</v>
      </c>
      <c r="D20" s="46">
        <v>0.15234616313527399</v>
      </c>
      <c r="E20" s="46">
        <v>0.87961037265454423</v>
      </c>
      <c r="F20" s="46">
        <v>-5485.0077372297001</v>
      </c>
      <c r="G20" s="46">
        <v>6382.0665455311446</v>
      </c>
      <c r="H20" s="46">
        <v>-5485.0077372297001</v>
      </c>
      <c r="I20" s="46">
        <v>6382.0665455311446</v>
      </c>
    </row>
    <row r="24" spans="1:9" x14ac:dyDescent="0.25">
      <c r="A24" s="1" t="s">
        <v>250</v>
      </c>
      <c r="E24" s="1" t="s">
        <v>254</v>
      </c>
    </row>
    <row r="25" spans="1:9" ht="15.75" thickBot="1" x14ac:dyDescent="0.3"/>
    <row r="26" spans="1:9" x14ac:dyDescent="0.25">
      <c r="A26" s="49" t="s">
        <v>251</v>
      </c>
      <c r="B26" s="49" t="s">
        <v>252</v>
      </c>
      <c r="C26" s="49" t="s">
        <v>253</v>
      </c>
      <c r="E26" s="49" t="s">
        <v>255</v>
      </c>
      <c r="F26" s="49">
        <v>5200</v>
      </c>
    </row>
    <row r="27" spans="1:9" x14ac:dyDescent="0.25">
      <c r="A27">
        <v>1</v>
      </c>
      <c r="B27">
        <v>5218.7556747177923</v>
      </c>
      <c r="C27">
        <v>-1818.7556747177923</v>
      </c>
      <c r="E27">
        <v>1.0416666666666667</v>
      </c>
      <c r="F27">
        <v>2200</v>
      </c>
    </row>
    <row r="28" spans="1:9" x14ac:dyDescent="0.25">
      <c r="A28">
        <v>2</v>
      </c>
      <c r="B28">
        <v>5029.4700793212487</v>
      </c>
      <c r="C28">
        <v>1070.5299206787513</v>
      </c>
      <c r="E28">
        <v>3.125</v>
      </c>
      <c r="F28">
        <v>2500</v>
      </c>
    </row>
    <row r="29" spans="1:9" x14ac:dyDescent="0.25">
      <c r="A29">
        <v>3</v>
      </c>
      <c r="B29">
        <v>5235.77540988898</v>
      </c>
      <c r="C29">
        <v>-2435.77540988898</v>
      </c>
      <c r="E29">
        <v>5.2083333333333339</v>
      </c>
      <c r="F29">
        <v>2600</v>
      </c>
    </row>
    <row r="30" spans="1:9" x14ac:dyDescent="0.25">
      <c r="A30">
        <v>4</v>
      </c>
      <c r="B30">
        <v>5295.2886949159274</v>
      </c>
      <c r="C30">
        <v>2204.7113050840726</v>
      </c>
      <c r="E30">
        <v>7.291666666666667</v>
      </c>
      <c r="F30">
        <v>2800</v>
      </c>
    </row>
    <row r="31" spans="1:9" x14ac:dyDescent="0.25">
      <c r="A31">
        <v>5</v>
      </c>
      <c r="B31">
        <v>5242.479723726914</v>
      </c>
      <c r="C31">
        <v>-1142.479723726914</v>
      </c>
      <c r="E31">
        <v>9.375</v>
      </c>
      <c r="F31">
        <v>2800</v>
      </c>
    </row>
    <row r="32" spans="1:9" x14ac:dyDescent="0.25">
      <c r="A32">
        <v>6</v>
      </c>
      <c r="B32">
        <v>4878.0159493818946</v>
      </c>
      <c r="C32">
        <v>-1678.0159493818946</v>
      </c>
      <c r="E32">
        <v>11.458333333333334</v>
      </c>
      <c r="F32">
        <v>2900</v>
      </c>
    </row>
    <row r="33" spans="1:6" x14ac:dyDescent="0.25">
      <c r="A33">
        <v>7</v>
      </c>
      <c r="B33">
        <v>5084.3431944714102</v>
      </c>
      <c r="C33">
        <v>515.65680552858976</v>
      </c>
      <c r="E33">
        <v>13.541666666666666</v>
      </c>
      <c r="F33">
        <v>3100</v>
      </c>
    </row>
    <row r="34" spans="1:6" x14ac:dyDescent="0.25">
      <c r="A34">
        <v>8</v>
      </c>
      <c r="B34">
        <v>5219.1036342733569</v>
      </c>
      <c r="C34">
        <v>-319.10363427335687</v>
      </c>
      <c r="E34">
        <v>15.625</v>
      </c>
      <c r="F34">
        <v>3100</v>
      </c>
    </row>
    <row r="35" spans="1:6" x14ac:dyDescent="0.25">
      <c r="A35">
        <v>9</v>
      </c>
      <c r="B35">
        <v>5124.6222087351207</v>
      </c>
      <c r="C35">
        <v>-2924.6222087351207</v>
      </c>
      <c r="E35">
        <v>17.708333333333336</v>
      </c>
      <c r="F35">
        <v>3200</v>
      </c>
    </row>
    <row r="36" spans="1:6" x14ac:dyDescent="0.25">
      <c r="A36">
        <v>10</v>
      </c>
      <c r="B36">
        <v>5092.410868259185</v>
      </c>
      <c r="C36">
        <v>1707.589131740815</v>
      </c>
      <c r="E36">
        <v>19.791666666666668</v>
      </c>
      <c r="F36">
        <v>3200</v>
      </c>
    </row>
    <row r="37" spans="1:6" x14ac:dyDescent="0.25">
      <c r="A37">
        <v>11</v>
      </c>
      <c r="B37">
        <v>5047.4642910368702</v>
      </c>
      <c r="C37">
        <v>-1347.4642910368702</v>
      </c>
      <c r="E37">
        <v>21.875000000000004</v>
      </c>
      <c r="F37">
        <v>3400</v>
      </c>
    </row>
    <row r="38" spans="1:6" x14ac:dyDescent="0.25">
      <c r="A38">
        <v>12</v>
      </c>
      <c r="B38">
        <v>5302.4169593668248</v>
      </c>
      <c r="C38">
        <v>2797.5830406331752</v>
      </c>
      <c r="E38">
        <v>23.958333333333336</v>
      </c>
      <c r="F38">
        <v>3400</v>
      </c>
    </row>
    <row r="39" spans="1:6" x14ac:dyDescent="0.25">
      <c r="A39">
        <v>13</v>
      </c>
      <c r="B39">
        <v>4992.6499547665708</v>
      </c>
      <c r="C39">
        <v>-392.64995476657077</v>
      </c>
      <c r="E39">
        <v>26.041666666666668</v>
      </c>
      <c r="F39">
        <v>3600</v>
      </c>
    </row>
    <row r="40" spans="1:6" x14ac:dyDescent="0.25">
      <c r="A40">
        <v>14</v>
      </c>
      <c r="B40">
        <v>5435.2134028889959</v>
      </c>
      <c r="C40">
        <v>-2535.2134028889959</v>
      </c>
      <c r="E40">
        <v>28.125000000000004</v>
      </c>
      <c r="F40">
        <v>3700</v>
      </c>
    </row>
    <row r="41" spans="1:6" x14ac:dyDescent="0.25">
      <c r="A41">
        <v>15</v>
      </c>
      <c r="B41">
        <v>5023.2833151328477</v>
      </c>
      <c r="C41">
        <v>1176.7166848671523</v>
      </c>
      <c r="E41">
        <v>30.208333333333336</v>
      </c>
      <c r="F41">
        <v>3800</v>
      </c>
    </row>
    <row r="42" spans="1:6" x14ac:dyDescent="0.25">
      <c r="A42">
        <v>16</v>
      </c>
      <c r="B42">
        <v>5237.7222229960835</v>
      </c>
      <c r="C42">
        <v>62.277777003916526</v>
      </c>
      <c r="E42">
        <v>32.291666666666671</v>
      </c>
      <c r="F42">
        <v>3900</v>
      </c>
    </row>
    <row r="43" spans="1:6" x14ac:dyDescent="0.25">
      <c r="A43">
        <v>17</v>
      </c>
      <c r="B43">
        <v>5122.9285261198665</v>
      </c>
      <c r="C43">
        <v>-2022.9285261198665</v>
      </c>
      <c r="E43">
        <v>34.375</v>
      </c>
      <c r="F43">
        <v>4100</v>
      </c>
    </row>
    <row r="44" spans="1:6" x14ac:dyDescent="0.25">
      <c r="A44">
        <v>18</v>
      </c>
      <c r="B44">
        <v>4702.8917512825219</v>
      </c>
      <c r="C44">
        <v>2497.1082487174781</v>
      </c>
      <c r="E44">
        <v>36.458333333333336</v>
      </c>
      <c r="F44">
        <v>4200</v>
      </c>
    </row>
    <row r="45" spans="1:6" x14ac:dyDescent="0.25">
      <c r="A45">
        <v>19</v>
      </c>
      <c r="B45">
        <v>4789.6542301324098</v>
      </c>
      <c r="C45">
        <v>-489.65423013240979</v>
      </c>
      <c r="E45">
        <v>38.541666666666664</v>
      </c>
      <c r="F45">
        <v>4300</v>
      </c>
    </row>
    <row r="46" spans="1:6" x14ac:dyDescent="0.25">
      <c r="A46">
        <v>20</v>
      </c>
      <c r="B46">
        <v>5264.5702414385487</v>
      </c>
      <c r="C46">
        <v>1435.4297585614513</v>
      </c>
      <c r="E46">
        <v>40.625</v>
      </c>
      <c r="F46">
        <v>4500</v>
      </c>
    </row>
    <row r="47" spans="1:6" x14ac:dyDescent="0.25">
      <c r="A47">
        <v>21</v>
      </c>
      <c r="B47">
        <v>5339.6259206965424</v>
      </c>
      <c r="C47">
        <v>-2839.6259206965424</v>
      </c>
      <c r="E47">
        <v>42.708333333333336</v>
      </c>
      <c r="F47">
        <v>4600</v>
      </c>
    </row>
    <row r="48" spans="1:6" x14ac:dyDescent="0.25">
      <c r="A48">
        <v>22</v>
      </c>
      <c r="B48">
        <v>4651.1977786712814</v>
      </c>
      <c r="C48">
        <v>1148.8022213287186</v>
      </c>
      <c r="E48">
        <v>44.791666666666664</v>
      </c>
      <c r="F48">
        <v>4700</v>
      </c>
    </row>
    <row r="49" spans="1:6" x14ac:dyDescent="0.25">
      <c r="A49">
        <v>23</v>
      </c>
      <c r="B49">
        <v>5306.9889168581594</v>
      </c>
      <c r="C49">
        <v>-1406.9889168581594</v>
      </c>
      <c r="E49">
        <v>46.875</v>
      </c>
      <c r="F49">
        <v>4700</v>
      </c>
    </row>
    <row r="50" spans="1:6" x14ac:dyDescent="0.25">
      <c r="A50">
        <v>24</v>
      </c>
      <c r="B50">
        <v>5337.5951021886058</v>
      </c>
      <c r="C50">
        <v>3062.4048978113942</v>
      </c>
      <c r="E50">
        <v>48.958333333333336</v>
      </c>
      <c r="F50">
        <v>4900</v>
      </c>
    </row>
    <row r="51" spans="1:6" x14ac:dyDescent="0.25">
      <c r="A51">
        <v>25</v>
      </c>
      <c r="B51">
        <v>4956.7180012435838</v>
      </c>
      <c r="C51">
        <v>-256.71800124358379</v>
      </c>
      <c r="E51">
        <v>51.041666666666664</v>
      </c>
      <c r="F51">
        <v>4900</v>
      </c>
    </row>
    <row r="52" spans="1:6" x14ac:dyDescent="0.25">
      <c r="A52">
        <v>26</v>
      </c>
      <c r="B52">
        <v>4629.781948691817</v>
      </c>
      <c r="C52">
        <v>-1229.781948691817</v>
      </c>
      <c r="E52">
        <v>53.125</v>
      </c>
      <c r="F52">
        <v>5200</v>
      </c>
    </row>
    <row r="53" spans="1:6" x14ac:dyDescent="0.25">
      <c r="A53">
        <v>27</v>
      </c>
      <c r="B53">
        <v>4954.3100038489974</v>
      </c>
      <c r="C53">
        <v>1545.6899961510026</v>
      </c>
      <c r="E53">
        <v>55.208333333333336</v>
      </c>
      <c r="F53">
        <v>5300</v>
      </c>
    </row>
    <row r="54" spans="1:6" x14ac:dyDescent="0.25">
      <c r="A54">
        <v>28</v>
      </c>
      <c r="B54">
        <v>4808.1659158623379</v>
      </c>
      <c r="C54">
        <v>791.8340841376621</v>
      </c>
      <c r="E54">
        <v>57.291666666666671</v>
      </c>
      <c r="F54">
        <v>5400</v>
      </c>
    </row>
    <row r="55" spans="1:6" x14ac:dyDescent="0.25">
      <c r="A55">
        <v>29</v>
      </c>
      <c r="B55">
        <v>4809.9182727173666</v>
      </c>
      <c r="C55">
        <v>-2009.9182727173666</v>
      </c>
      <c r="E55">
        <v>59.375</v>
      </c>
      <c r="F55">
        <v>5600</v>
      </c>
    </row>
    <row r="56" spans="1:6" x14ac:dyDescent="0.25">
      <c r="A56">
        <v>30</v>
      </c>
      <c r="B56">
        <v>5109.7637844713809</v>
      </c>
      <c r="C56">
        <v>2590.2362155286191</v>
      </c>
      <c r="E56">
        <v>61.458333333333336</v>
      </c>
      <c r="F56">
        <v>5600</v>
      </c>
    </row>
    <row r="57" spans="1:6" x14ac:dyDescent="0.25">
      <c r="A57">
        <v>31</v>
      </c>
      <c r="B57">
        <v>5235.5845305002113</v>
      </c>
      <c r="C57">
        <v>-735.58453050021126</v>
      </c>
      <c r="E57">
        <v>63.541666666666671</v>
      </c>
      <c r="F57">
        <v>5800</v>
      </c>
    </row>
    <row r="58" spans="1:6" x14ac:dyDescent="0.25">
      <c r="A58">
        <v>32</v>
      </c>
      <c r="B58">
        <v>4932.3501209476335</v>
      </c>
      <c r="C58">
        <v>1167.6498790523665</v>
      </c>
      <c r="E58">
        <v>65.625000000000014</v>
      </c>
      <c r="F58">
        <v>5900</v>
      </c>
    </row>
    <row r="59" spans="1:6" x14ac:dyDescent="0.25">
      <c r="A59">
        <v>33</v>
      </c>
      <c r="B59">
        <v>5160.7388623185188</v>
      </c>
      <c r="C59">
        <v>-1560.7388623185188</v>
      </c>
      <c r="E59">
        <v>67.708333333333343</v>
      </c>
      <c r="F59">
        <v>6100</v>
      </c>
    </row>
    <row r="60" spans="1:6" x14ac:dyDescent="0.25">
      <c r="A60">
        <v>34</v>
      </c>
      <c r="B60">
        <v>5022.7867145604196</v>
      </c>
      <c r="C60">
        <v>-122.78671456041957</v>
      </c>
      <c r="E60">
        <v>69.791666666666671</v>
      </c>
      <c r="F60">
        <v>6100</v>
      </c>
    </row>
    <row r="61" spans="1:6" x14ac:dyDescent="0.25">
      <c r="A61">
        <v>35</v>
      </c>
      <c r="B61">
        <v>5120.2584273050115</v>
      </c>
      <c r="C61">
        <v>1879.7415726949885</v>
      </c>
      <c r="E61">
        <v>71.875000000000014</v>
      </c>
      <c r="F61">
        <v>6200</v>
      </c>
    </row>
    <row r="62" spans="1:6" x14ac:dyDescent="0.25">
      <c r="A62">
        <v>36</v>
      </c>
      <c r="B62">
        <v>4972.4250942771087</v>
      </c>
      <c r="C62">
        <v>-1772.4250942771087</v>
      </c>
      <c r="E62">
        <v>73.958333333333343</v>
      </c>
      <c r="F62">
        <v>6400</v>
      </c>
    </row>
    <row r="63" spans="1:6" x14ac:dyDescent="0.25">
      <c r="A63">
        <v>37</v>
      </c>
      <c r="B63">
        <v>5202.2332118824961</v>
      </c>
      <c r="C63">
        <v>197.76678811750389</v>
      </c>
      <c r="E63">
        <v>76.041666666666671</v>
      </c>
      <c r="F63">
        <v>6500</v>
      </c>
    </row>
    <row r="64" spans="1:6" x14ac:dyDescent="0.25">
      <c r="A64">
        <v>38</v>
      </c>
      <c r="B64">
        <v>4643.3036208242866</v>
      </c>
      <c r="C64">
        <v>-2043.3036208242866</v>
      </c>
      <c r="E64">
        <v>78.125000000000014</v>
      </c>
      <c r="F64">
        <v>6700</v>
      </c>
    </row>
    <row r="65" spans="1:6" x14ac:dyDescent="0.25">
      <c r="A65">
        <v>39</v>
      </c>
      <c r="B65">
        <v>4968.1992234617073</v>
      </c>
      <c r="C65">
        <v>931.80077653829267</v>
      </c>
      <c r="E65">
        <v>80.208333333333343</v>
      </c>
      <c r="F65">
        <v>6800</v>
      </c>
    </row>
    <row r="66" spans="1:6" x14ac:dyDescent="0.25">
      <c r="A66">
        <v>40</v>
      </c>
      <c r="B66">
        <v>5349.477802234228</v>
      </c>
      <c r="C66">
        <v>1950.522197765772</v>
      </c>
      <c r="E66">
        <v>82.291666666666671</v>
      </c>
      <c r="F66">
        <v>6900</v>
      </c>
    </row>
    <row r="67" spans="1:6" x14ac:dyDescent="0.25">
      <c r="A67">
        <v>41</v>
      </c>
      <c r="B67">
        <v>5267.3205596985199</v>
      </c>
      <c r="C67">
        <v>-1067.3205596985199</v>
      </c>
      <c r="E67">
        <v>84.375000000000014</v>
      </c>
      <c r="F67">
        <v>7000</v>
      </c>
    </row>
    <row r="68" spans="1:6" x14ac:dyDescent="0.25">
      <c r="A68">
        <v>42</v>
      </c>
      <c r="B68">
        <v>5229.7239159856808</v>
      </c>
      <c r="C68">
        <v>1170.2760840143192</v>
      </c>
      <c r="E68">
        <v>86.458333333333343</v>
      </c>
      <c r="F68">
        <v>7200</v>
      </c>
    </row>
    <row r="69" spans="1:6" x14ac:dyDescent="0.25">
      <c r="A69">
        <v>43</v>
      </c>
      <c r="B69">
        <v>5308.6705167785231</v>
      </c>
      <c r="C69">
        <v>-2208.6705167785231</v>
      </c>
      <c r="E69">
        <v>88.541666666666671</v>
      </c>
      <c r="F69">
        <v>7300</v>
      </c>
    </row>
    <row r="70" spans="1:6" x14ac:dyDescent="0.25">
      <c r="A70">
        <v>44</v>
      </c>
      <c r="B70">
        <v>5190.6241375944692</v>
      </c>
      <c r="C70">
        <v>3609.3758624055308</v>
      </c>
      <c r="E70">
        <v>90.625000000000014</v>
      </c>
      <c r="F70">
        <v>7500</v>
      </c>
    </row>
    <row r="71" spans="1:6" x14ac:dyDescent="0.25">
      <c r="A71">
        <v>45</v>
      </c>
      <c r="B71">
        <v>5132.1775468509268</v>
      </c>
      <c r="C71">
        <v>-1332.1775468509268</v>
      </c>
      <c r="E71">
        <v>92.708333333333343</v>
      </c>
      <c r="F71">
        <v>7700</v>
      </c>
    </row>
    <row r="72" spans="1:6" x14ac:dyDescent="0.25">
      <c r="A72">
        <v>46</v>
      </c>
      <c r="B72">
        <v>4731.9068995979314</v>
      </c>
      <c r="C72">
        <v>468.09310040206856</v>
      </c>
      <c r="E72">
        <v>94.791666666666671</v>
      </c>
      <c r="F72">
        <v>8100</v>
      </c>
    </row>
    <row r="73" spans="1:6" x14ac:dyDescent="0.25">
      <c r="A73">
        <v>47</v>
      </c>
      <c r="B73">
        <v>4674.0235602393541</v>
      </c>
      <c r="C73">
        <v>25.976439760645917</v>
      </c>
      <c r="E73">
        <v>96.875000000000014</v>
      </c>
      <c r="F73">
        <v>8400</v>
      </c>
    </row>
    <row r="74" spans="1:6" ht="15.75" thickBot="1" x14ac:dyDescent="0.3">
      <c r="A74" s="46">
        <v>48</v>
      </c>
      <c r="B74" s="46">
        <v>5215.0692768395174</v>
      </c>
      <c r="C74" s="46">
        <v>1684.9307231604826</v>
      </c>
      <c r="E74" s="46">
        <v>98.958333333333343</v>
      </c>
      <c r="F74" s="46">
        <v>8800</v>
      </c>
    </row>
  </sheetData>
  <sortState xmlns:xlrd2="http://schemas.microsoft.com/office/spreadsheetml/2017/richdata2" ref="F27:F74">
    <sortCondition ref="F27"/>
  </sortState>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F36CCD-8A99-4AFE-9CD7-A7517374A77A}">
  <dimension ref="A1:G30"/>
  <sheetViews>
    <sheetView workbookViewId="0">
      <selection activeCell="B1" sqref="B1:B1048576"/>
    </sheetView>
  </sheetViews>
  <sheetFormatPr defaultRowHeight="15" x14ac:dyDescent="0.25"/>
  <cols>
    <col min="1" max="1" width="14.85546875" customWidth="1"/>
    <col min="2" max="2" width="13.28515625" customWidth="1"/>
  </cols>
  <sheetData>
    <row r="1" spans="1:4" x14ac:dyDescent="0.25">
      <c r="A1" t="s">
        <v>272</v>
      </c>
    </row>
    <row r="3" spans="1:4" x14ac:dyDescent="0.25">
      <c r="A3" t="s">
        <v>258</v>
      </c>
      <c r="B3" t="s">
        <v>132</v>
      </c>
      <c r="C3" t="s">
        <v>117</v>
      </c>
      <c r="D3" t="s">
        <v>236</v>
      </c>
    </row>
    <row r="4" spans="1:4" ht="15.75" thickBot="1" x14ac:dyDescent="0.3">
      <c r="A4" s="61" t="s">
        <v>202</v>
      </c>
      <c r="B4" s="61"/>
      <c r="C4" s="61"/>
      <c r="D4" s="61"/>
    </row>
    <row r="5" spans="1:4" x14ac:dyDescent="0.25">
      <c r="A5" t="s">
        <v>219</v>
      </c>
      <c r="B5">
        <v>3</v>
      </c>
      <c r="C5">
        <v>3</v>
      </c>
      <c r="D5">
        <v>6</v>
      </c>
    </row>
    <row r="6" spans="1:4" x14ac:dyDescent="0.25">
      <c r="A6" t="s">
        <v>218</v>
      </c>
      <c r="B6">
        <v>24300</v>
      </c>
      <c r="C6">
        <v>15000</v>
      </c>
      <c r="D6">
        <v>39300</v>
      </c>
    </row>
    <row r="7" spans="1:4" x14ac:dyDescent="0.25">
      <c r="A7" t="s">
        <v>260</v>
      </c>
      <c r="B7">
        <v>8100</v>
      </c>
      <c r="C7">
        <v>5000</v>
      </c>
      <c r="D7">
        <v>6550</v>
      </c>
    </row>
    <row r="8" spans="1:4" x14ac:dyDescent="0.25">
      <c r="A8" t="s">
        <v>261</v>
      </c>
      <c r="B8">
        <v>130000</v>
      </c>
      <c r="C8">
        <v>40000</v>
      </c>
      <c r="D8">
        <v>2951000</v>
      </c>
    </row>
    <row r="10" spans="1:4" ht="15.75" thickBot="1" x14ac:dyDescent="0.3">
      <c r="A10" s="61" t="s">
        <v>203</v>
      </c>
      <c r="B10" s="61"/>
      <c r="C10" s="61"/>
      <c r="D10" s="61"/>
    </row>
    <row r="11" spans="1:4" x14ac:dyDescent="0.25">
      <c r="A11" t="s">
        <v>219</v>
      </c>
      <c r="B11">
        <v>3</v>
      </c>
      <c r="C11">
        <v>3</v>
      </c>
      <c r="D11">
        <v>6</v>
      </c>
    </row>
    <row r="12" spans="1:4" x14ac:dyDescent="0.25">
      <c r="A12" t="s">
        <v>218</v>
      </c>
      <c r="B12">
        <v>18100</v>
      </c>
      <c r="C12">
        <v>12100</v>
      </c>
      <c r="D12">
        <v>30200</v>
      </c>
    </row>
    <row r="13" spans="1:4" x14ac:dyDescent="0.25">
      <c r="A13" t="s">
        <v>260</v>
      </c>
      <c r="B13">
        <v>6033.333333333333</v>
      </c>
      <c r="C13">
        <v>4033.3333333333335</v>
      </c>
      <c r="D13">
        <v>5033.333333333333</v>
      </c>
    </row>
    <row r="14" spans="1:4" x14ac:dyDescent="0.25">
      <c r="A14" t="s">
        <v>261</v>
      </c>
      <c r="B14">
        <v>23333.333333333336</v>
      </c>
      <c r="C14">
        <v>23333.333333333332</v>
      </c>
      <c r="D14">
        <v>1218666.6666666686</v>
      </c>
    </row>
    <row r="16" spans="1:4" ht="15.75" thickBot="1" x14ac:dyDescent="0.3">
      <c r="A16" s="61" t="s">
        <v>236</v>
      </c>
      <c r="B16" s="61"/>
      <c r="C16" s="61"/>
      <c r="D16" s="61"/>
    </row>
    <row r="17" spans="1:7" x14ac:dyDescent="0.25">
      <c r="A17" t="s">
        <v>219</v>
      </c>
      <c r="B17">
        <v>6</v>
      </c>
      <c r="C17">
        <v>6</v>
      </c>
    </row>
    <row r="18" spans="1:7" x14ac:dyDescent="0.25">
      <c r="A18" t="s">
        <v>218</v>
      </c>
      <c r="B18">
        <v>42400</v>
      </c>
      <c r="C18">
        <v>27100</v>
      </c>
    </row>
    <row r="19" spans="1:7" x14ac:dyDescent="0.25">
      <c r="A19" t="s">
        <v>260</v>
      </c>
      <c r="B19">
        <v>7066.666666666667</v>
      </c>
      <c r="C19">
        <v>4516.666666666667</v>
      </c>
    </row>
    <row r="20" spans="1:7" x14ac:dyDescent="0.25">
      <c r="A20" t="s">
        <v>261</v>
      </c>
      <c r="B20">
        <v>1342666.6666666628</v>
      </c>
      <c r="C20">
        <v>305666.6666666657</v>
      </c>
    </row>
    <row r="23" spans="1:7" ht="15.75" thickBot="1" x14ac:dyDescent="0.3">
      <c r="A23" t="s">
        <v>233</v>
      </c>
    </row>
    <row r="24" spans="1:7" x14ac:dyDescent="0.25">
      <c r="A24" s="47" t="s">
        <v>262</v>
      </c>
      <c r="B24" s="47" t="s">
        <v>239</v>
      </c>
      <c r="C24" s="47" t="s">
        <v>238</v>
      </c>
      <c r="D24" s="47" t="s">
        <v>240</v>
      </c>
      <c r="E24" s="47" t="s">
        <v>241</v>
      </c>
      <c r="F24" s="47" t="s">
        <v>245</v>
      </c>
      <c r="G24" s="47" t="s">
        <v>263</v>
      </c>
    </row>
    <row r="25" spans="1:7" x14ac:dyDescent="0.25">
      <c r="A25" t="s">
        <v>273</v>
      </c>
      <c r="B25">
        <v>6900833.3333333321</v>
      </c>
      <c r="C25">
        <v>1</v>
      </c>
      <c r="D25">
        <v>6900833.3333333321</v>
      </c>
      <c r="E25">
        <v>127.39999999999996</v>
      </c>
      <c r="F25">
        <v>3.414085563453589E-6</v>
      </c>
      <c r="G25">
        <v>5.3176550715787174</v>
      </c>
    </row>
    <row r="26" spans="1:7" x14ac:dyDescent="0.25">
      <c r="A26" t="s">
        <v>268</v>
      </c>
      <c r="B26">
        <v>19507500</v>
      </c>
      <c r="C26">
        <v>1</v>
      </c>
      <c r="D26">
        <v>19507500</v>
      </c>
      <c r="E26">
        <v>360.13846153846151</v>
      </c>
      <c r="F26">
        <v>6.15153672100674E-8</v>
      </c>
      <c r="G26">
        <v>5.3176550715787174</v>
      </c>
    </row>
    <row r="27" spans="1:7" x14ac:dyDescent="0.25">
      <c r="A27" t="s">
        <v>274</v>
      </c>
      <c r="B27">
        <v>907500.00000000244</v>
      </c>
      <c r="C27">
        <v>1</v>
      </c>
      <c r="D27">
        <v>907500.00000000244</v>
      </c>
      <c r="E27">
        <v>16.753846153846197</v>
      </c>
      <c r="F27">
        <v>3.4704670716426411E-3</v>
      </c>
      <c r="G27">
        <v>5.3176550715787174</v>
      </c>
    </row>
    <row r="28" spans="1:7" x14ac:dyDescent="0.25">
      <c r="A28" t="s">
        <v>275</v>
      </c>
      <c r="B28">
        <v>433333.33333333337</v>
      </c>
      <c r="C28">
        <v>8</v>
      </c>
      <c r="D28">
        <v>54166.666666666672</v>
      </c>
    </row>
    <row r="30" spans="1:7" ht="15.75" thickBot="1" x14ac:dyDescent="0.3">
      <c r="A30" s="46" t="s">
        <v>236</v>
      </c>
      <c r="B30" s="46">
        <v>27749166.666666668</v>
      </c>
      <c r="C30" s="46">
        <v>11</v>
      </c>
      <c r="D30" s="46"/>
      <c r="E30" s="46"/>
      <c r="F30" s="46"/>
      <c r="G30" s="46"/>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A00A496-8E5A-416E-9374-D2F164BF2E8A}">
  <dimension ref="A1:G30"/>
  <sheetViews>
    <sheetView workbookViewId="0">
      <selection activeCell="N37" sqref="N37"/>
    </sheetView>
  </sheetViews>
  <sheetFormatPr defaultRowHeight="15" x14ac:dyDescent="0.25"/>
  <sheetData>
    <row r="1" spans="1:4" x14ac:dyDescent="0.25">
      <c r="A1" t="s">
        <v>272</v>
      </c>
    </row>
    <row r="3" spans="1:4" x14ac:dyDescent="0.25">
      <c r="A3" t="s">
        <v>258</v>
      </c>
      <c r="B3" t="s">
        <v>132</v>
      </c>
      <c r="C3" t="s">
        <v>117</v>
      </c>
      <c r="D3" t="s">
        <v>236</v>
      </c>
    </row>
    <row r="4" spans="1:4" ht="15.75" thickBot="1" x14ac:dyDescent="0.3">
      <c r="A4" s="61" t="s">
        <v>202</v>
      </c>
      <c r="B4" s="61"/>
      <c r="C4" s="61"/>
      <c r="D4" s="61"/>
    </row>
    <row r="5" spans="1:4" x14ac:dyDescent="0.25">
      <c r="A5" t="s">
        <v>219</v>
      </c>
      <c r="B5">
        <v>3</v>
      </c>
      <c r="C5">
        <v>3</v>
      </c>
      <c r="D5">
        <v>6</v>
      </c>
    </row>
    <row r="6" spans="1:4" x14ac:dyDescent="0.25">
      <c r="A6" t="s">
        <v>218</v>
      </c>
      <c r="B6">
        <v>24300</v>
      </c>
      <c r="C6">
        <v>15000</v>
      </c>
      <c r="D6">
        <v>39300</v>
      </c>
    </row>
    <row r="7" spans="1:4" x14ac:dyDescent="0.25">
      <c r="A7" t="s">
        <v>260</v>
      </c>
      <c r="B7">
        <v>8100</v>
      </c>
      <c r="C7">
        <v>5000</v>
      </c>
      <c r="D7">
        <v>6550</v>
      </c>
    </row>
    <row r="8" spans="1:4" x14ac:dyDescent="0.25">
      <c r="A8" t="s">
        <v>261</v>
      </c>
      <c r="B8">
        <v>130000</v>
      </c>
      <c r="C8">
        <v>40000</v>
      </c>
      <c r="D8">
        <v>2951000</v>
      </c>
    </row>
    <row r="10" spans="1:4" ht="15.75" thickBot="1" x14ac:dyDescent="0.3">
      <c r="A10" s="61" t="s">
        <v>203</v>
      </c>
      <c r="B10" s="61"/>
      <c r="C10" s="61"/>
      <c r="D10" s="61"/>
    </row>
    <row r="11" spans="1:4" x14ac:dyDescent="0.25">
      <c r="A11" t="s">
        <v>219</v>
      </c>
      <c r="B11">
        <v>3</v>
      </c>
      <c r="C11">
        <v>3</v>
      </c>
      <c r="D11">
        <v>6</v>
      </c>
    </row>
    <row r="12" spans="1:4" x14ac:dyDescent="0.25">
      <c r="A12" t="s">
        <v>218</v>
      </c>
      <c r="B12">
        <v>18100</v>
      </c>
      <c r="C12">
        <v>12100</v>
      </c>
      <c r="D12">
        <v>30200</v>
      </c>
    </row>
    <row r="13" spans="1:4" x14ac:dyDescent="0.25">
      <c r="A13" t="s">
        <v>260</v>
      </c>
      <c r="B13">
        <v>6033.333333333333</v>
      </c>
      <c r="C13">
        <v>4033.3333333333335</v>
      </c>
      <c r="D13">
        <v>5033.333333333333</v>
      </c>
    </row>
    <row r="14" spans="1:4" x14ac:dyDescent="0.25">
      <c r="A14" t="s">
        <v>261</v>
      </c>
      <c r="B14">
        <v>23333.333333333336</v>
      </c>
      <c r="C14">
        <v>23333.333333333332</v>
      </c>
      <c r="D14">
        <v>1218666.6666666686</v>
      </c>
    </row>
    <row r="16" spans="1:4" ht="15.75" thickBot="1" x14ac:dyDescent="0.3">
      <c r="A16" s="61" t="s">
        <v>236</v>
      </c>
      <c r="B16" s="61"/>
      <c r="C16" s="61"/>
      <c r="D16" s="61"/>
    </row>
    <row r="17" spans="1:7" x14ac:dyDescent="0.25">
      <c r="A17" t="s">
        <v>219</v>
      </c>
      <c r="B17">
        <v>6</v>
      </c>
      <c r="C17">
        <v>6</v>
      </c>
    </row>
    <row r="18" spans="1:7" x14ac:dyDescent="0.25">
      <c r="A18" t="s">
        <v>218</v>
      </c>
      <c r="B18">
        <v>42400</v>
      </c>
      <c r="C18">
        <v>27100</v>
      </c>
    </row>
    <row r="19" spans="1:7" x14ac:dyDescent="0.25">
      <c r="A19" t="s">
        <v>260</v>
      </c>
      <c r="B19">
        <v>7066.666666666667</v>
      </c>
      <c r="C19">
        <v>4516.666666666667</v>
      </c>
    </row>
    <row r="20" spans="1:7" x14ac:dyDescent="0.25">
      <c r="A20" t="s">
        <v>261</v>
      </c>
      <c r="B20">
        <v>1342666.6666666628</v>
      </c>
      <c r="C20">
        <v>305666.6666666657</v>
      </c>
    </row>
    <row r="23" spans="1:7" ht="15.75" thickBot="1" x14ac:dyDescent="0.3">
      <c r="A23" t="s">
        <v>233</v>
      </c>
    </row>
    <row r="24" spans="1:7" x14ac:dyDescent="0.25">
      <c r="A24" s="47" t="s">
        <v>262</v>
      </c>
      <c r="B24" s="47" t="s">
        <v>239</v>
      </c>
      <c r="C24" s="47" t="s">
        <v>238</v>
      </c>
      <c r="D24" s="47" t="s">
        <v>240</v>
      </c>
      <c r="E24" s="47" t="s">
        <v>241</v>
      </c>
      <c r="F24" s="47" t="s">
        <v>245</v>
      </c>
      <c r="G24" s="47" t="s">
        <v>263</v>
      </c>
    </row>
    <row r="25" spans="1:7" x14ac:dyDescent="0.25">
      <c r="A25" t="s">
        <v>273</v>
      </c>
      <c r="B25">
        <v>6900833.3333333321</v>
      </c>
      <c r="C25">
        <v>1</v>
      </c>
      <c r="D25">
        <v>6900833.3333333321</v>
      </c>
      <c r="E25">
        <v>127.39999999999996</v>
      </c>
      <c r="F25">
        <v>3.414085563453589E-6</v>
      </c>
      <c r="G25">
        <v>5.3176550715787174</v>
      </c>
    </row>
    <row r="26" spans="1:7" x14ac:dyDescent="0.25">
      <c r="A26" t="s">
        <v>268</v>
      </c>
      <c r="B26">
        <v>19507500</v>
      </c>
      <c r="C26">
        <v>1</v>
      </c>
      <c r="D26">
        <v>19507500</v>
      </c>
      <c r="E26">
        <v>360.13846153846151</v>
      </c>
      <c r="F26">
        <v>6.15153672100674E-8</v>
      </c>
      <c r="G26">
        <v>5.3176550715787174</v>
      </c>
    </row>
    <row r="27" spans="1:7" x14ac:dyDescent="0.25">
      <c r="A27" t="s">
        <v>274</v>
      </c>
      <c r="B27">
        <v>907500.00000000244</v>
      </c>
      <c r="C27">
        <v>1</v>
      </c>
      <c r="D27">
        <v>907500.00000000244</v>
      </c>
      <c r="E27">
        <v>16.753846153846197</v>
      </c>
      <c r="F27">
        <v>3.4704670716426411E-3</v>
      </c>
      <c r="G27">
        <v>5.3176550715787174</v>
      </c>
    </row>
    <row r="28" spans="1:7" x14ac:dyDescent="0.25">
      <c r="A28" t="s">
        <v>275</v>
      </c>
      <c r="B28">
        <v>433333.33333333337</v>
      </c>
      <c r="C28">
        <v>8</v>
      </c>
      <c r="D28">
        <v>54166.666666666672</v>
      </c>
    </row>
    <row r="30" spans="1:7" ht="15.75" thickBot="1" x14ac:dyDescent="0.3">
      <c r="A30" s="46" t="s">
        <v>236</v>
      </c>
      <c r="B30" s="46">
        <v>27749166.666666668</v>
      </c>
      <c r="C30" s="46">
        <v>11</v>
      </c>
      <c r="D30" s="46"/>
      <c r="E30" s="46"/>
      <c r="F30" s="46"/>
      <c r="G30" s="46"/>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D5074C0-8E00-46C6-8C98-DF6DDD1B4D06}">
  <dimension ref="A1:AC42"/>
  <sheetViews>
    <sheetView showRowColHeaders="0" zoomScaleNormal="100" workbookViewId="0">
      <selection activeCell="P33" sqref="P33"/>
    </sheetView>
  </sheetViews>
  <sheetFormatPr defaultRowHeight="15" x14ac:dyDescent="0.25"/>
  <sheetData>
    <row r="1" spans="1:29" x14ac:dyDescent="0.25">
      <c r="A1" s="75"/>
      <c r="B1" s="75"/>
      <c r="C1" s="75"/>
      <c r="D1" s="75"/>
      <c r="E1" s="75"/>
      <c r="F1" s="75"/>
      <c r="G1" s="75"/>
      <c r="H1" s="75"/>
      <c r="I1" s="75"/>
      <c r="J1" s="75"/>
      <c r="K1" s="75"/>
      <c r="L1" s="75"/>
      <c r="M1" s="75"/>
      <c r="N1" s="75"/>
      <c r="O1" s="75"/>
      <c r="P1" s="75"/>
      <c r="Q1" s="75"/>
      <c r="R1" s="75"/>
      <c r="S1" s="75"/>
      <c r="T1" s="75"/>
      <c r="U1" s="75"/>
      <c r="V1" s="75"/>
      <c r="W1" s="75"/>
      <c r="X1" s="75"/>
      <c r="Y1" s="75"/>
      <c r="Z1" s="75"/>
      <c r="AA1" s="75"/>
      <c r="AB1" s="75"/>
      <c r="AC1" s="75"/>
    </row>
    <row r="2" spans="1:29" x14ac:dyDescent="0.25">
      <c r="A2" s="75"/>
      <c r="B2" s="75"/>
      <c r="C2" s="75"/>
      <c r="D2" s="75"/>
      <c r="E2" s="75"/>
      <c r="F2" s="75"/>
      <c r="G2" s="75"/>
      <c r="H2" s="75"/>
      <c r="I2" s="75"/>
      <c r="J2" s="75"/>
      <c r="K2" s="75"/>
      <c r="L2" s="75"/>
      <c r="M2" s="75"/>
      <c r="N2" s="75"/>
      <c r="O2" s="75"/>
      <c r="P2" s="75"/>
      <c r="Q2" s="75"/>
      <c r="R2" s="75"/>
      <c r="S2" s="75"/>
      <c r="T2" s="75"/>
      <c r="U2" s="75"/>
      <c r="V2" s="75"/>
      <c r="W2" s="75"/>
      <c r="X2" s="75"/>
      <c r="Y2" s="75"/>
      <c r="Z2" s="75"/>
      <c r="AA2" s="75"/>
      <c r="AB2" s="75"/>
      <c r="AC2" s="75"/>
    </row>
    <row r="3" spans="1:29" x14ac:dyDescent="0.25">
      <c r="A3" s="75"/>
      <c r="B3" s="75"/>
      <c r="C3" s="75"/>
      <c r="D3" s="75"/>
      <c r="E3" s="75"/>
      <c r="F3" s="75"/>
      <c r="G3" s="75"/>
      <c r="H3" s="75"/>
      <c r="I3" s="75"/>
      <c r="J3" s="75"/>
      <c r="K3" s="75"/>
      <c r="L3" s="75"/>
      <c r="M3" s="75"/>
      <c r="N3" s="75"/>
      <c r="O3" s="75"/>
      <c r="P3" s="75"/>
      <c r="Q3" s="75"/>
      <c r="R3" s="75"/>
      <c r="S3" s="75"/>
      <c r="T3" s="75"/>
      <c r="U3" s="75"/>
      <c r="V3" s="75"/>
      <c r="W3" s="75"/>
      <c r="X3" s="75"/>
      <c r="Y3" s="75"/>
      <c r="Z3" s="75"/>
      <c r="AA3" s="75"/>
      <c r="AB3" s="75"/>
      <c r="AC3" s="75"/>
    </row>
    <row r="4" spans="1:29" x14ac:dyDescent="0.25">
      <c r="A4" s="75"/>
      <c r="B4" s="75"/>
      <c r="C4" s="75"/>
      <c r="D4" s="75"/>
      <c r="E4" s="75"/>
      <c r="F4" s="75"/>
      <c r="G4" s="75"/>
      <c r="H4" s="75"/>
      <c r="I4" s="75"/>
      <c r="J4" s="75"/>
      <c r="K4" s="75"/>
      <c r="L4" s="75"/>
      <c r="M4" s="75"/>
      <c r="N4" s="75"/>
      <c r="O4" s="75"/>
      <c r="P4" s="75"/>
      <c r="Q4" s="75"/>
      <c r="R4" s="75"/>
      <c r="S4" s="75"/>
      <c r="T4" s="75"/>
      <c r="U4" s="75"/>
      <c r="V4" s="75"/>
      <c r="W4" s="75"/>
      <c r="X4" s="75"/>
      <c r="Y4" s="75"/>
      <c r="Z4" s="75"/>
      <c r="AA4" s="75"/>
      <c r="AB4" s="75"/>
      <c r="AC4" s="75"/>
    </row>
    <row r="5" spans="1:29" x14ac:dyDescent="0.25">
      <c r="A5" s="75"/>
      <c r="B5" s="75"/>
      <c r="C5" s="75"/>
      <c r="D5" s="75"/>
      <c r="E5" s="75"/>
      <c r="F5" s="75"/>
      <c r="G5" s="75"/>
      <c r="H5" s="75"/>
      <c r="I5" s="75"/>
      <c r="J5" s="75"/>
      <c r="K5" s="75"/>
      <c r="L5" s="75"/>
      <c r="M5" s="75"/>
      <c r="N5" s="75"/>
      <c r="O5" s="75"/>
      <c r="P5" s="75"/>
      <c r="Q5" s="75"/>
      <c r="R5" s="75"/>
      <c r="S5" s="75"/>
      <c r="T5" s="75"/>
      <c r="U5" s="75"/>
      <c r="V5" s="75"/>
      <c r="W5" s="75"/>
      <c r="X5" s="75"/>
      <c r="Y5" s="75"/>
      <c r="Z5" s="75"/>
      <c r="AA5" s="75"/>
      <c r="AB5" s="75"/>
      <c r="AC5" s="75"/>
    </row>
    <row r="6" spans="1:29" x14ac:dyDescent="0.25">
      <c r="A6" s="75"/>
      <c r="B6" s="75"/>
      <c r="C6" s="75"/>
      <c r="D6" s="75"/>
      <c r="E6" s="75"/>
      <c r="F6" s="75"/>
      <c r="G6" s="75"/>
      <c r="H6" s="75"/>
      <c r="I6" s="75"/>
      <c r="J6" s="75"/>
      <c r="K6" s="75"/>
      <c r="L6" s="75"/>
      <c r="M6" s="75"/>
      <c r="N6" s="75"/>
      <c r="O6" s="75"/>
      <c r="P6" s="75"/>
      <c r="Q6" s="75"/>
      <c r="R6" s="75"/>
      <c r="S6" s="75"/>
      <c r="T6" s="75"/>
      <c r="U6" s="75"/>
      <c r="V6" s="75"/>
      <c r="W6" s="75"/>
      <c r="X6" s="75"/>
      <c r="Y6" s="75"/>
      <c r="Z6" s="75"/>
      <c r="AA6" s="75"/>
      <c r="AB6" s="75"/>
      <c r="AC6" s="75"/>
    </row>
    <row r="7" spans="1:29" x14ac:dyDescent="0.25">
      <c r="A7" s="75"/>
      <c r="B7" s="75"/>
      <c r="C7" s="75"/>
      <c r="D7" s="75"/>
      <c r="E7" s="75"/>
      <c r="F7" s="75"/>
      <c r="G7" s="75"/>
      <c r="H7" s="75"/>
      <c r="I7" s="75"/>
      <c r="J7" s="75"/>
      <c r="K7" s="75"/>
      <c r="L7" s="75"/>
      <c r="M7" s="75"/>
      <c r="N7" s="75"/>
      <c r="O7" s="75"/>
      <c r="P7" s="75"/>
      <c r="Q7" s="75"/>
      <c r="R7" s="75"/>
      <c r="S7" s="75"/>
      <c r="T7" s="75"/>
      <c r="U7" s="75"/>
      <c r="V7" s="75"/>
      <c r="W7" s="75"/>
      <c r="X7" s="75"/>
      <c r="Y7" s="75"/>
      <c r="Z7" s="75"/>
      <c r="AA7" s="75"/>
      <c r="AB7" s="75"/>
      <c r="AC7" s="75"/>
    </row>
    <row r="8" spans="1:29" x14ac:dyDescent="0.25">
      <c r="A8" s="75"/>
      <c r="B8" s="75"/>
      <c r="C8" s="75"/>
      <c r="D8" s="75"/>
      <c r="E8" s="75"/>
      <c r="F8" s="75"/>
      <c r="G8" s="75"/>
      <c r="H8" s="75"/>
      <c r="I8" s="75"/>
      <c r="J8" s="75"/>
      <c r="K8" s="75"/>
      <c r="L8" s="75"/>
      <c r="M8" s="75"/>
      <c r="N8" s="75"/>
      <c r="O8" s="75"/>
      <c r="P8" s="75"/>
      <c r="Q8" s="75"/>
      <c r="R8" s="75"/>
      <c r="S8" s="75"/>
      <c r="T8" s="75"/>
      <c r="U8" s="75"/>
      <c r="V8" s="75"/>
      <c r="W8" s="75"/>
      <c r="X8" s="75"/>
      <c r="Y8" s="75"/>
      <c r="Z8" s="75"/>
      <c r="AA8" s="75"/>
      <c r="AB8" s="75"/>
      <c r="AC8" s="75"/>
    </row>
    <row r="9" spans="1:29" x14ac:dyDescent="0.25">
      <c r="A9" s="75"/>
      <c r="B9" s="75"/>
      <c r="C9" s="75"/>
      <c r="D9" s="75"/>
      <c r="E9" s="75"/>
      <c r="F9" s="75"/>
      <c r="G9" s="75"/>
      <c r="H9" s="75"/>
      <c r="I9" s="75"/>
      <c r="J9" s="75"/>
      <c r="K9" s="75"/>
      <c r="L9" s="75"/>
      <c r="M9" s="75"/>
      <c r="N9" s="75"/>
      <c r="O9" s="75"/>
      <c r="P9" s="75"/>
      <c r="Q9" s="75"/>
      <c r="R9" s="75"/>
      <c r="S9" s="75"/>
      <c r="T9" s="75"/>
      <c r="U9" s="75"/>
      <c r="V9" s="75"/>
      <c r="W9" s="75"/>
      <c r="X9" s="75"/>
      <c r="Y9" s="75"/>
      <c r="Z9" s="75"/>
      <c r="AA9" s="75"/>
      <c r="AB9" s="75"/>
      <c r="AC9" s="75"/>
    </row>
    <row r="10" spans="1:29" x14ac:dyDescent="0.25">
      <c r="A10" s="75"/>
      <c r="B10" s="75"/>
      <c r="C10" s="75"/>
      <c r="D10" s="75"/>
      <c r="E10" s="75"/>
      <c r="F10" s="75"/>
      <c r="G10" s="75"/>
      <c r="H10" s="75"/>
      <c r="I10" s="75"/>
      <c r="J10" s="75"/>
      <c r="K10" s="75"/>
      <c r="L10" s="75"/>
      <c r="M10" s="75"/>
      <c r="N10" s="75"/>
      <c r="O10" s="75"/>
      <c r="P10" s="75"/>
      <c r="Q10" s="75"/>
      <c r="R10" s="75"/>
      <c r="S10" s="75"/>
      <c r="T10" s="75"/>
      <c r="U10" s="75"/>
      <c r="V10" s="75"/>
      <c r="W10" s="75"/>
      <c r="X10" s="75"/>
      <c r="Y10" s="75"/>
      <c r="Z10" s="75"/>
      <c r="AA10" s="75"/>
      <c r="AB10" s="75"/>
      <c r="AC10" s="75"/>
    </row>
    <row r="11" spans="1:29" x14ac:dyDescent="0.25">
      <c r="A11" s="75"/>
      <c r="B11" s="75"/>
      <c r="C11" s="75"/>
      <c r="D11" s="75"/>
      <c r="E11" s="75"/>
      <c r="F11" s="75"/>
      <c r="G11" s="75"/>
      <c r="H11" s="75"/>
      <c r="I11" s="75"/>
      <c r="J11" s="75"/>
      <c r="K11" s="75"/>
      <c r="L11" s="75"/>
      <c r="M11" s="75"/>
      <c r="N11" s="75"/>
      <c r="O11" s="75"/>
      <c r="P11" s="75"/>
      <c r="Q11" s="75"/>
      <c r="R11" s="75"/>
      <c r="S11" s="75"/>
      <c r="T11" s="75"/>
      <c r="U11" s="75"/>
      <c r="V11" s="75"/>
      <c r="W11" s="75"/>
      <c r="X11" s="75"/>
      <c r="Y11" s="75"/>
      <c r="Z11" s="75"/>
      <c r="AA11" s="75"/>
      <c r="AB11" s="75"/>
      <c r="AC11" s="75"/>
    </row>
    <row r="12" spans="1:29" x14ac:dyDescent="0.25">
      <c r="A12" s="75"/>
      <c r="B12" s="75"/>
      <c r="C12" s="75"/>
      <c r="D12" s="75"/>
      <c r="E12" s="75"/>
      <c r="F12" s="75"/>
      <c r="G12" s="75"/>
      <c r="H12" s="75"/>
      <c r="I12" s="75"/>
      <c r="J12" s="75"/>
      <c r="K12" s="75"/>
      <c r="L12" s="75"/>
      <c r="M12" s="75"/>
      <c r="N12" s="75"/>
      <c r="O12" s="75"/>
      <c r="P12" s="75"/>
      <c r="Q12" s="75"/>
      <c r="R12" s="75"/>
      <c r="S12" s="75"/>
      <c r="T12" s="75"/>
      <c r="U12" s="75"/>
      <c r="V12" s="75"/>
      <c r="W12" s="75"/>
      <c r="X12" s="75"/>
      <c r="Y12" s="75"/>
      <c r="Z12" s="75"/>
      <c r="AA12" s="75"/>
      <c r="AB12" s="75"/>
      <c r="AC12" s="75"/>
    </row>
    <row r="13" spans="1:29" x14ac:dyDescent="0.25">
      <c r="A13" s="75"/>
      <c r="B13" s="75"/>
      <c r="C13" s="75"/>
      <c r="D13" s="75"/>
      <c r="E13" s="75"/>
      <c r="F13" s="75"/>
      <c r="G13" s="75"/>
      <c r="H13" s="75"/>
      <c r="I13" s="75"/>
      <c r="J13" s="75"/>
      <c r="K13" s="75"/>
      <c r="L13" s="75"/>
      <c r="M13" s="75"/>
      <c r="N13" s="75"/>
      <c r="O13" s="75"/>
      <c r="P13" s="75"/>
      <c r="Q13" s="75"/>
      <c r="R13" s="75"/>
      <c r="S13" s="75"/>
      <c r="T13" s="75"/>
      <c r="U13" s="75"/>
      <c r="V13" s="75"/>
      <c r="W13" s="75"/>
      <c r="X13" s="75"/>
      <c r="Y13" s="75"/>
      <c r="Z13" s="75"/>
      <c r="AA13" s="75"/>
      <c r="AB13" s="75"/>
      <c r="AC13" s="75"/>
    </row>
    <row r="14" spans="1:29" x14ac:dyDescent="0.25">
      <c r="A14" s="75"/>
      <c r="B14" s="75"/>
      <c r="C14" s="75"/>
      <c r="D14" s="75"/>
      <c r="E14" s="75"/>
      <c r="F14" s="75"/>
      <c r="G14" s="75"/>
      <c r="H14" s="75"/>
      <c r="I14" s="75"/>
      <c r="J14" s="75"/>
      <c r="K14" s="75"/>
      <c r="L14" s="75"/>
      <c r="M14" s="75"/>
      <c r="N14" s="75"/>
      <c r="O14" s="75"/>
      <c r="P14" s="75"/>
      <c r="Q14" s="75"/>
      <c r="R14" s="75"/>
      <c r="S14" s="75"/>
      <c r="T14" s="75"/>
      <c r="U14" s="75"/>
      <c r="V14" s="75"/>
      <c r="W14" s="75"/>
      <c r="X14" s="75"/>
      <c r="Y14" s="75"/>
      <c r="Z14" s="75"/>
      <c r="AA14" s="75"/>
      <c r="AB14" s="75"/>
      <c r="AC14" s="75"/>
    </row>
    <row r="15" spans="1:29" x14ac:dyDescent="0.25">
      <c r="A15" s="75"/>
      <c r="B15" s="75"/>
      <c r="C15" s="75"/>
      <c r="D15" s="75"/>
      <c r="E15" s="75"/>
      <c r="F15" s="75"/>
      <c r="G15" s="75"/>
      <c r="H15" s="75"/>
      <c r="I15" s="75"/>
      <c r="J15" s="75"/>
      <c r="K15" s="75"/>
      <c r="L15" s="75"/>
      <c r="M15" s="75"/>
      <c r="N15" s="75"/>
      <c r="O15" s="75"/>
      <c r="P15" s="75"/>
      <c r="Q15" s="75"/>
      <c r="R15" s="75"/>
      <c r="S15" s="75"/>
      <c r="T15" s="75"/>
      <c r="U15" s="75"/>
      <c r="V15" s="75"/>
      <c r="W15" s="75"/>
      <c r="X15" s="75"/>
      <c r="Y15" s="75"/>
      <c r="Z15" s="75"/>
      <c r="AA15" s="75"/>
      <c r="AB15" s="75"/>
      <c r="AC15" s="75"/>
    </row>
    <row r="16" spans="1:29" x14ac:dyDescent="0.25">
      <c r="A16" s="75"/>
      <c r="B16" s="75"/>
      <c r="C16" s="75"/>
      <c r="D16" s="75"/>
      <c r="E16" s="75"/>
      <c r="F16" s="75"/>
      <c r="G16" s="75"/>
      <c r="H16" s="75"/>
      <c r="I16" s="75"/>
      <c r="J16" s="75"/>
      <c r="K16" s="75"/>
      <c r="L16" s="75"/>
      <c r="M16" s="75"/>
      <c r="N16" s="75"/>
      <c r="O16" s="75"/>
      <c r="P16" s="75"/>
      <c r="Q16" s="75"/>
      <c r="R16" s="75"/>
      <c r="S16" s="75"/>
      <c r="T16" s="75"/>
      <c r="U16" s="75"/>
      <c r="V16" s="75"/>
      <c r="W16" s="75"/>
      <c r="X16" s="75"/>
      <c r="Y16" s="75"/>
      <c r="Z16" s="75"/>
      <c r="AA16" s="75"/>
      <c r="AB16" s="75"/>
      <c r="AC16" s="75"/>
    </row>
    <row r="17" spans="1:29" x14ac:dyDescent="0.25">
      <c r="A17" s="75"/>
      <c r="B17" s="75"/>
      <c r="C17" s="75"/>
      <c r="D17" s="75"/>
      <c r="E17" s="75"/>
      <c r="F17" s="75"/>
      <c r="G17" s="75"/>
      <c r="H17" s="75"/>
      <c r="I17" s="75"/>
      <c r="J17" s="75"/>
      <c r="K17" s="75"/>
      <c r="L17" s="75"/>
      <c r="M17" s="75"/>
      <c r="N17" s="75"/>
      <c r="O17" s="75"/>
      <c r="P17" s="75"/>
      <c r="Q17" s="75"/>
      <c r="R17" s="75"/>
      <c r="S17" s="75"/>
      <c r="T17" s="75"/>
      <c r="U17" s="75"/>
      <c r="V17" s="75"/>
      <c r="W17" s="75"/>
      <c r="X17" s="75"/>
      <c r="Y17" s="75"/>
      <c r="Z17" s="75"/>
      <c r="AA17" s="75"/>
      <c r="AB17" s="75"/>
      <c r="AC17" s="75"/>
    </row>
    <row r="18" spans="1:29" x14ac:dyDescent="0.25">
      <c r="A18" s="75"/>
      <c r="B18" s="75"/>
      <c r="C18" s="75"/>
      <c r="D18" s="75"/>
      <c r="E18" s="75"/>
      <c r="F18" s="75"/>
      <c r="G18" s="75"/>
      <c r="H18" s="75"/>
      <c r="I18" s="75"/>
      <c r="J18" s="75"/>
      <c r="K18" s="75"/>
      <c r="L18" s="75"/>
      <c r="M18" s="75"/>
      <c r="N18" s="75"/>
      <c r="O18" s="75"/>
      <c r="P18" s="75"/>
      <c r="Q18" s="75"/>
      <c r="R18" s="75"/>
      <c r="S18" s="75"/>
      <c r="T18" s="75"/>
      <c r="U18" s="75"/>
      <c r="V18" s="75"/>
      <c r="W18" s="75"/>
      <c r="X18" s="75"/>
      <c r="Y18" s="75"/>
      <c r="Z18" s="75"/>
      <c r="AA18" s="75"/>
      <c r="AB18" s="75"/>
      <c r="AC18" s="75"/>
    </row>
    <row r="19" spans="1:29" x14ac:dyDescent="0.25">
      <c r="A19" s="75"/>
      <c r="B19" s="75"/>
      <c r="C19" s="75"/>
      <c r="D19" s="75"/>
      <c r="E19" s="75"/>
      <c r="F19" s="75"/>
      <c r="G19" s="75"/>
      <c r="H19" s="75"/>
      <c r="I19" s="75"/>
      <c r="J19" s="75"/>
      <c r="K19" s="75"/>
      <c r="L19" s="75"/>
      <c r="M19" s="75"/>
      <c r="N19" s="75"/>
      <c r="O19" s="75"/>
      <c r="P19" s="75"/>
      <c r="Q19" s="75"/>
      <c r="R19" s="75"/>
      <c r="S19" s="75"/>
      <c r="T19" s="75"/>
      <c r="U19" s="75"/>
      <c r="V19" s="75"/>
      <c r="W19" s="75"/>
      <c r="X19" s="75"/>
      <c r="Y19" s="75"/>
      <c r="Z19" s="75"/>
      <c r="AA19" s="75"/>
      <c r="AB19" s="75"/>
      <c r="AC19" s="75"/>
    </row>
    <row r="20" spans="1:29" x14ac:dyDescent="0.25">
      <c r="A20" s="75"/>
      <c r="B20" s="75"/>
      <c r="C20" s="75"/>
      <c r="D20" s="75"/>
      <c r="E20" s="75"/>
      <c r="F20" s="75"/>
      <c r="G20" s="75"/>
      <c r="H20" s="75"/>
      <c r="I20" s="75"/>
      <c r="J20" s="75"/>
      <c r="K20" s="75"/>
      <c r="L20" s="75"/>
      <c r="M20" s="75"/>
      <c r="N20" s="75"/>
      <c r="O20" s="75"/>
      <c r="P20" s="75"/>
      <c r="Q20" s="75"/>
      <c r="R20" s="75"/>
      <c r="S20" s="75"/>
      <c r="T20" s="75"/>
      <c r="U20" s="75"/>
      <c r="V20" s="75"/>
      <c r="W20" s="75"/>
      <c r="X20" s="75"/>
      <c r="Y20" s="75"/>
      <c r="Z20" s="75"/>
      <c r="AA20" s="75"/>
      <c r="AB20" s="75"/>
      <c r="AC20" s="75"/>
    </row>
    <row r="21" spans="1:29" x14ac:dyDescent="0.25">
      <c r="A21" s="75"/>
      <c r="B21" s="75"/>
      <c r="C21" s="75"/>
      <c r="D21" s="75"/>
      <c r="E21" s="75"/>
      <c r="F21" s="75"/>
      <c r="G21" s="75"/>
      <c r="H21" s="75"/>
      <c r="I21" s="75"/>
      <c r="J21" s="75"/>
      <c r="K21" s="75"/>
      <c r="L21" s="75"/>
      <c r="M21" s="75"/>
      <c r="N21" s="75"/>
      <c r="O21" s="75"/>
      <c r="P21" s="75"/>
      <c r="Q21" s="75"/>
      <c r="R21" s="75"/>
      <c r="S21" s="75"/>
      <c r="T21" s="75"/>
      <c r="U21" s="75"/>
      <c r="V21" s="75"/>
      <c r="W21" s="75"/>
      <c r="X21" s="75"/>
      <c r="Y21" s="75"/>
      <c r="Z21" s="75"/>
      <c r="AA21" s="75"/>
      <c r="AB21" s="75"/>
      <c r="AC21" s="75"/>
    </row>
    <row r="22" spans="1:29" x14ac:dyDescent="0.25">
      <c r="A22" s="75"/>
      <c r="B22" s="75"/>
      <c r="C22" s="75"/>
      <c r="D22" s="75"/>
      <c r="E22" s="75"/>
      <c r="F22" s="75"/>
      <c r="G22" s="75"/>
      <c r="H22" s="75"/>
      <c r="I22" s="75"/>
      <c r="J22" s="75"/>
      <c r="K22" s="75"/>
      <c r="L22" s="75"/>
      <c r="M22" s="75"/>
      <c r="N22" s="75"/>
      <c r="O22" s="75"/>
      <c r="P22" s="75"/>
      <c r="Q22" s="75"/>
      <c r="R22" s="75"/>
      <c r="S22" s="75"/>
      <c r="T22" s="75"/>
      <c r="U22" s="75"/>
      <c r="V22" s="75"/>
      <c r="W22" s="75"/>
      <c r="X22" s="75"/>
      <c r="Y22" s="75"/>
      <c r="Z22" s="75"/>
      <c r="AA22" s="75"/>
      <c r="AB22" s="75"/>
      <c r="AC22" s="75"/>
    </row>
    <row r="23" spans="1:29" x14ac:dyDescent="0.25">
      <c r="A23" s="75"/>
      <c r="B23" s="75"/>
      <c r="C23" s="75"/>
      <c r="D23" s="75"/>
      <c r="E23" s="75"/>
      <c r="F23" s="75"/>
      <c r="G23" s="75"/>
      <c r="H23" s="75"/>
      <c r="I23" s="75"/>
      <c r="J23" s="75"/>
      <c r="K23" s="75"/>
      <c r="L23" s="75"/>
      <c r="M23" s="75"/>
      <c r="N23" s="75"/>
      <c r="O23" s="75"/>
      <c r="P23" s="75"/>
      <c r="Q23" s="75"/>
      <c r="R23" s="75"/>
      <c r="S23" s="75"/>
      <c r="T23" s="75"/>
      <c r="U23" s="75"/>
      <c r="V23" s="75"/>
      <c r="W23" s="75"/>
      <c r="X23" s="75"/>
      <c r="Y23" s="75"/>
      <c r="Z23" s="75"/>
      <c r="AA23" s="75"/>
      <c r="AB23" s="75"/>
      <c r="AC23" s="75"/>
    </row>
    <row r="24" spans="1:29" x14ac:dyDescent="0.25">
      <c r="A24" s="75"/>
      <c r="B24" s="75"/>
      <c r="C24" s="75"/>
      <c r="D24" s="75"/>
      <c r="E24" s="75"/>
      <c r="F24" s="75"/>
      <c r="G24" s="75"/>
      <c r="H24" s="75"/>
      <c r="I24" s="75"/>
      <c r="J24" s="75"/>
      <c r="K24" s="75"/>
      <c r="L24" s="75"/>
      <c r="M24" s="75"/>
      <c r="N24" s="75"/>
      <c r="O24" s="75"/>
      <c r="P24" s="75"/>
      <c r="Q24" s="75"/>
      <c r="R24" s="75"/>
      <c r="S24" s="75"/>
      <c r="T24" s="75"/>
      <c r="U24" s="75"/>
      <c r="V24" s="75"/>
      <c r="W24" s="75"/>
      <c r="X24" s="75"/>
      <c r="Y24" s="75"/>
      <c r="Z24" s="75"/>
      <c r="AA24" s="75"/>
      <c r="AB24" s="75"/>
      <c r="AC24" s="75"/>
    </row>
    <row r="25" spans="1:29" x14ac:dyDescent="0.25">
      <c r="A25" s="75"/>
      <c r="B25" s="75"/>
      <c r="C25" s="75"/>
      <c r="D25" s="75"/>
      <c r="E25" s="75"/>
      <c r="F25" s="75"/>
      <c r="G25" s="75"/>
      <c r="H25" s="75"/>
      <c r="I25" s="75"/>
      <c r="J25" s="75"/>
      <c r="K25" s="75"/>
      <c r="L25" s="75"/>
      <c r="M25" s="75"/>
      <c r="N25" s="75"/>
      <c r="O25" s="75"/>
      <c r="P25" s="75"/>
      <c r="Q25" s="75"/>
      <c r="R25" s="75"/>
      <c r="S25" s="75"/>
      <c r="T25" s="75"/>
      <c r="U25" s="75"/>
      <c r="V25" s="75"/>
      <c r="W25" s="75"/>
      <c r="X25" s="75"/>
      <c r="Y25" s="75"/>
      <c r="Z25" s="75"/>
      <c r="AA25" s="75"/>
      <c r="AB25" s="75"/>
      <c r="AC25" s="75"/>
    </row>
    <row r="26" spans="1:29" x14ac:dyDescent="0.25">
      <c r="A26" s="75"/>
      <c r="B26" s="75"/>
      <c r="C26" s="75"/>
      <c r="D26" s="75"/>
      <c r="E26" s="75"/>
      <c r="F26" s="75"/>
      <c r="G26" s="75"/>
      <c r="H26" s="75"/>
      <c r="I26" s="75"/>
      <c r="J26" s="75"/>
      <c r="K26" s="75"/>
      <c r="L26" s="75"/>
      <c r="M26" s="75"/>
      <c r="N26" s="75"/>
      <c r="O26" s="75"/>
      <c r="P26" s="75"/>
      <c r="Q26" s="75"/>
      <c r="R26" s="75"/>
      <c r="S26" s="75"/>
      <c r="T26" s="75"/>
      <c r="U26" s="75"/>
      <c r="V26" s="75"/>
      <c r="W26" s="75"/>
      <c r="X26" s="75"/>
      <c r="Y26" s="75"/>
      <c r="Z26" s="75"/>
      <c r="AA26" s="75"/>
      <c r="AB26" s="75"/>
      <c r="AC26" s="75"/>
    </row>
    <row r="27" spans="1:29" x14ac:dyDescent="0.25">
      <c r="A27" s="75"/>
      <c r="B27" s="75"/>
      <c r="C27" s="75"/>
      <c r="D27" s="75"/>
      <c r="E27" s="75"/>
      <c r="F27" s="75"/>
      <c r="G27" s="75"/>
      <c r="H27" s="75"/>
      <c r="I27" s="75"/>
      <c r="J27" s="75"/>
      <c r="K27" s="75"/>
      <c r="L27" s="75"/>
      <c r="M27" s="75"/>
      <c r="N27" s="75"/>
      <c r="O27" s="75"/>
      <c r="P27" s="75"/>
      <c r="Q27" s="75"/>
      <c r="R27" s="75"/>
      <c r="S27" s="75"/>
      <c r="T27" s="75"/>
      <c r="U27" s="75"/>
      <c r="V27" s="75"/>
      <c r="W27" s="75"/>
      <c r="X27" s="75"/>
      <c r="Y27" s="75"/>
      <c r="Z27" s="75"/>
      <c r="AA27" s="75"/>
      <c r="AB27" s="75"/>
      <c r="AC27" s="75"/>
    </row>
    <row r="28" spans="1:29" x14ac:dyDescent="0.25">
      <c r="A28" s="75"/>
      <c r="B28" s="75"/>
      <c r="C28" s="75"/>
      <c r="D28" s="75"/>
      <c r="E28" s="75"/>
      <c r="F28" s="75"/>
      <c r="G28" s="75"/>
      <c r="H28" s="75"/>
      <c r="I28" s="75"/>
      <c r="J28" s="75"/>
      <c r="K28" s="75"/>
      <c r="L28" s="75"/>
      <c r="M28" s="75"/>
      <c r="N28" s="75"/>
      <c r="O28" s="75"/>
      <c r="P28" s="75"/>
      <c r="Q28" s="75"/>
      <c r="R28" s="75"/>
      <c r="S28" s="75"/>
      <c r="T28" s="75"/>
      <c r="U28" s="75"/>
      <c r="V28" s="75"/>
      <c r="W28" s="75"/>
      <c r="X28" s="75"/>
      <c r="Y28" s="75"/>
      <c r="Z28" s="75"/>
      <c r="AA28" s="75"/>
      <c r="AB28" s="75"/>
      <c r="AC28" s="75"/>
    </row>
    <row r="29" spans="1:29" x14ac:dyDescent="0.25">
      <c r="A29" s="75"/>
      <c r="B29" s="75"/>
      <c r="C29" s="75"/>
      <c r="D29" s="75"/>
      <c r="E29" s="75"/>
      <c r="F29" s="75"/>
      <c r="G29" s="75"/>
      <c r="H29" s="75"/>
      <c r="I29" s="75"/>
      <c r="J29" s="75"/>
      <c r="K29" s="75"/>
      <c r="L29" s="75"/>
      <c r="M29" s="75"/>
      <c r="N29" s="75"/>
      <c r="O29" s="75"/>
      <c r="P29" s="75"/>
      <c r="Q29" s="75"/>
      <c r="R29" s="75"/>
      <c r="S29" s="75"/>
      <c r="T29" s="75"/>
      <c r="U29" s="75"/>
      <c r="V29" s="75"/>
      <c r="W29" s="75"/>
      <c r="X29" s="75"/>
      <c r="Y29" s="75"/>
      <c r="Z29" s="75"/>
      <c r="AA29" s="75"/>
      <c r="AB29" s="75"/>
      <c r="AC29" s="75"/>
    </row>
    <row r="30" spans="1:29" x14ac:dyDescent="0.25">
      <c r="A30" s="75"/>
      <c r="B30" s="75"/>
      <c r="C30" s="75"/>
      <c r="D30" s="75"/>
      <c r="E30" s="75"/>
      <c r="F30" s="75"/>
      <c r="G30" s="75"/>
      <c r="H30" s="75"/>
      <c r="I30" s="75"/>
      <c r="J30" s="75"/>
      <c r="K30" s="75"/>
      <c r="L30" s="75"/>
      <c r="M30" s="75"/>
      <c r="N30" s="75"/>
      <c r="O30" s="75"/>
      <c r="P30" s="75"/>
      <c r="Q30" s="75"/>
      <c r="R30" s="75"/>
      <c r="S30" s="75"/>
      <c r="T30" s="75"/>
      <c r="U30" s="75"/>
      <c r="V30" s="75"/>
      <c r="W30" s="75"/>
      <c r="X30" s="75"/>
      <c r="Y30" s="75"/>
      <c r="Z30" s="75"/>
      <c r="AA30" s="75"/>
      <c r="AB30" s="75"/>
      <c r="AC30" s="75"/>
    </row>
    <row r="31" spans="1:29" x14ac:dyDescent="0.25">
      <c r="A31" s="75"/>
      <c r="B31" s="75"/>
      <c r="C31" s="75"/>
      <c r="D31" s="75"/>
      <c r="E31" s="75"/>
      <c r="F31" s="75"/>
      <c r="G31" s="75"/>
      <c r="H31" s="75"/>
      <c r="I31" s="75"/>
      <c r="J31" s="75"/>
      <c r="K31" s="75"/>
      <c r="L31" s="75"/>
      <c r="M31" s="75"/>
      <c r="N31" s="75"/>
      <c r="O31" s="75"/>
      <c r="P31" s="75"/>
      <c r="Q31" s="75"/>
      <c r="R31" s="75"/>
      <c r="S31" s="75"/>
      <c r="T31" s="75"/>
      <c r="U31" s="75"/>
      <c r="V31" s="75"/>
      <c r="W31" s="75"/>
      <c r="X31" s="75"/>
      <c r="Y31" s="75"/>
      <c r="Z31" s="75"/>
      <c r="AA31" s="75"/>
      <c r="AB31" s="75"/>
      <c r="AC31" s="75"/>
    </row>
    <row r="32" spans="1:29" x14ac:dyDescent="0.25">
      <c r="A32" s="75"/>
      <c r="B32" s="75"/>
      <c r="C32" s="75"/>
      <c r="D32" s="75"/>
      <c r="E32" s="75"/>
      <c r="F32" s="75"/>
      <c r="G32" s="75"/>
      <c r="H32" s="75"/>
      <c r="I32" s="75"/>
      <c r="J32" s="75"/>
      <c r="K32" s="75"/>
      <c r="L32" s="75"/>
      <c r="M32" s="75"/>
      <c r="N32" s="75"/>
      <c r="O32" s="75"/>
      <c r="P32" s="75"/>
      <c r="Q32" s="75"/>
      <c r="R32" s="75"/>
      <c r="S32" s="75"/>
      <c r="T32" s="75"/>
      <c r="U32" s="75"/>
      <c r="V32" s="75"/>
      <c r="W32" s="75"/>
      <c r="X32" s="75"/>
      <c r="Y32" s="75"/>
      <c r="Z32" s="75"/>
      <c r="AA32" s="75"/>
      <c r="AB32" s="75"/>
      <c r="AC32" s="75"/>
    </row>
    <row r="33" spans="1:29" x14ac:dyDescent="0.25">
      <c r="A33" s="75"/>
      <c r="B33" s="75"/>
      <c r="C33" s="75"/>
      <c r="D33" s="75"/>
      <c r="E33" s="75"/>
      <c r="F33" s="75"/>
      <c r="G33" s="75"/>
      <c r="H33" s="75"/>
      <c r="I33" s="75"/>
      <c r="J33" s="75"/>
      <c r="K33" s="75"/>
      <c r="L33" s="75"/>
      <c r="M33" s="75"/>
      <c r="N33" s="75"/>
      <c r="O33" s="75"/>
      <c r="P33" s="75"/>
      <c r="Q33" s="75"/>
      <c r="R33" s="75"/>
      <c r="S33" s="75"/>
      <c r="T33" s="75"/>
      <c r="U33" s="75"/>
      <c r="V33" s="75"/>
      <c r="W33" s="75"/>
      <c r="X33" s="75"/>
      <c r="Y33" s="75"/>
      <c r="Z33" s="75"/>
      <c r="AA33" s="75"/>
      <c r="AB33" s="75"/>
      <c r="AC33" s="75"/>
    </row>
    <row r="34" spans="1:29" x14ac:dyDescent="0.25">
      <c r="A34" s="75"/>
      <c r="B34" s="75"/>
      <c r="C34" s="75"/>
      <c r="D34" s="75"/>
      <c r="E34" s="75"/>
      <c r="F34" s="75"/>
      <c r="G34" s="75"/>
      <c r="H34" s="75"/>
      <c r="I34" s="75"/>
      <c r="J34" s="75"/>
      <c r="K34" s="75"/>
      <c r="L34" s="75"/>
      <c r="M34" s="75"/>
      <c r="N34" s="75"/>
      <c r="O34" s="75"/>
      <c r="P34" s="75"/>
      <c r="Q34" s="75"/>
      <c r="R34" s="75"/>
      <c r="S34" s="75"/>
      <c r="T34" s="75"/>
      <c r="U34" s="75"/>
      <c r="V34" s="75"/>
      <c r="W34" s="75"/>
      <c r="X34" s="75"/>
      <c r="Y34" s="75"/>
      <c r="Z34" s="75"/>
      <c r="AA34" s="75"/>
      <c r="AB34" s="75"/>
      <c r="AC34" s="75"/>
    </row>
    <row r="35" spans="1:29" x14ac:dyDescent="0.25">
      <c r="A35" s="75"/>
      <c r="B35" s="75"/>
      <c r="C35" s="75"/>
      <c r="D35" s="75"/>
      <c r="E35" s="75"/>
      <c r="F35" s="75"/>
      <c r="G35" s="75"/>
      <c r="H35" s="75"/>
      <c r="I35" s="75"/>
      <c r="J35" s="75"/>
      <c r="K35" s="75"/>
      <c r="L35" s="75"/>
      <c r="M35" s="75"/>
      <c r="N35" s="75"/>
      <c r="O35" s="75"/>
      <c r="P35" s="75"/>
      <c r="Q35" s="75"/>
      <c r="R35" s="75"/>
      <c r="S35" s="75"/>
      <c r="T35" s="75"/>
      <c r="U35" s="75"/>
      <c r="V35" s="75"/>
      <c r="W35" s="75"/>
      <c r="X35" s="75"/>
      <c r="Y35" s="75"/>
      <c r="Z35" s="75"/>
      <c r="AA35" s="75"/>
      <c r="AB35" s="75"/>
      <c r="AC35" s="75"/>
    </row>
    <row r="36" spans="1:29" x14ac:dyDescent="0.25">
      <c r="A36" s="75"/>
      <c r="B36" s="75"/>
      <c r="C36" s="75"/>
      <c r="D36" s="75"/>
      <c r="E36" s="75"/>
      <c r="F36" s="75"/>
      <c r="G36" s="75"/>
      <c r="H36" s="75"/>
      <c r="I36" s="75"/>
      <c r="J36" s="75"/>
      <c r="K36" s="75"/>
      <c r="L36" s="75"/>
      <c r="M36" s="75"/>
      <c r="N36" s="75"/>
      <c r="O36" s="75"/>
      <c r="P36" s="75"/>
      <c r="Q36" s="75"/>
      <c r="R36" s="75"/>
      <c r="S36" s="75"/>
      <c r="T36" s="75"/>
      <c r="U36" s="75"/>
      <c r="V36" s="75"/>
      <c r="W36" s="75"/>
      <c r="X36" s="75"/>
      <c r="Y36" s="75"/>
      <c r="Z36" s="75"/>
      <c r="AA36" s="75"/>
      <c r="AB36" s="75"/>
      <c r="AC36" s="75"/>
    </row>
    <row r="37" spans="1:29" x14ac:dyDescent="0.25">
      <c r="A37" s="75"/>
      <c r="B37" s="75"/>
      <c r="C37" s="75"/>
      <c r="D37" s="75"/>
      <c r="E37" s="75"/>
      <c r="F37" s="75"/>
      <c r="G37" s="75"/>
      <c r="H37" s="75"/>
      <c r="I37" s="75"/>
      <c r="J37" s="75"/>
      <c r="K37" s="75"/>
      <c r="L37" s="75"/>
      <c r="M37" s="75"/>
      <c r="N37" s="75"/>
      <c r="O37" s="75"/>
      <c r="P37" s="75"/>
      <c r="Q37" s="75"/>
      <c r="R37" s="75"/>
      <c r="S37" s="75"/>
      <c r="T37" s="75"/>
      <c r="U37" s="75"/>
      <c r="V37" s="75"/>
      <c r="W37" s="75"/>
      <c r="X37" s="75"/>
      <c r="Y37" s="75"/>
      <c r="Z37" s="75"/>
      <c r="AA37" s="75"/>
      <c r="AB37" s="75"/>
      <c r="AC37" s="75"/>
    </row>
    <row r="38" spans="1:29" x14ac:dyDescent="0.25">
      <c r="A38" s="75"/>
      <c r="B38" s="75"/>
      <c r="C38" s="75"/>
      <c r="D38" s="75"/>
      <c r="E38" s="75"/>
      <c r="F38" s="75"/>
      <c r="G38" s="75"/>
      <c r="H38" s="75"/>
      <c r="I38" s="75"/>
      <c r="J38" s="75"/>
      <c r="K38" s="75"/>
      <c r="L38" s="75"/>
      <c r="M38" s="75"/>
      <c r="N38" s="75"/>
      <c r="O38" s="75"/>
      <c r="P38" s="75"/>
      <c r="Q38" s="75"/>
      <c r="R38" s="75"/>
      <c r="S38" s="75"/>
      <c r="T38" s="75"/>
      <c r="U38" s="75"/>
      <c r="V38" s="75"/>
      <c r="W38" s="75"/>
      <c r="X38" s="75"/>
      <c r="Y38" s="75"/>
      <c r="Z38" s="75"/>
      <c r="AA38" s="75"/>
      <c r="AB38" s="75"/>
      <c r="AC38" s="75"/>
    </row>
    <row r="39" spans="1:29" x14ac:dyDescent="0.25">
      <c r="A39" s="75"/>
      <c r="B39" s="75"/>
      <c r="C39" s="75"/>
      <c r="D39" s="75"/>
      <c r="E39" s="75"/>
      <c r="F39" s="75"/>
      <c r="G39" s="75"/>
      <c r="H39" s="75"/>
      <c r="I39" s="75"/>
      <c r="J39" s="75"/>
      <c r="K39" s="75"/>
      <c r="L39" s="75"/>
      <c r="M39" s="75"/>
      <c r="N39" s="75"/>
      <c r="O39" s="75"/>
      <c r="P39" s="75"/>
      <c r="Q39" s="75"/>
      <c r="R39" s="75"/>
      <c r="S39" s="75"/>
      <c r="T39" s="75"/>
      <c r="U39" s="75"/>
      <c r="V39" s="75"/>
      <c r="W39" s="75"/>
      <c r="X39" s="75"/>
      <c r="Y39" s="75"/>
      <c r="Z39" s="75"/>
      <c r="AA39" s="75"/>
      <c r="AB39" s="75"/>
      <c r="AC39" s="75"/>
    </row>
    <row r="40" spans="1:29" x14ac:dyDescent="0.25">
      <c r="A40" s="75"/>
      <c r="B40" s="75"/>
      <c r="C40" s="75"/>
      <c r="D40" s="75"/>
      <c r="E40" s="75"/>
      <c r="F40" s="75"/>
      <c r="G40" s="75"/>
      <c r="H40" s="75"/>
      <c r="I40" s="75"/>
      <c r="J40" s="75"/>
      <c r="K40" s="75"/>
      <c r="L40" s="75"/>
      <c r="M40" s="75"/>
      <c r="N40" s="75"/>
      <c r="O40" s="75"/>
      <c r="P40" s="75"/>
      <c r="Q40" s="75"/>
      <c r="R40" s="75"/>
      <c r="S40" s="75"/>
      <c r="T40" s="75"/>
      <c r="U40" s="75"/>
      <c r="V40" s="75"/>
      <c r="W40" s="75"/>
      <c r="X40" s="75"/>
      <c r="Y40" s="75"/>
      <c r="Z40" s="75"/>
      <c r="AA40" s="75"/>
      <c r="AB40" s="75"/>
      <c r="AC40" s="75"/>
    </row>
    <row r="41" spans="1:29" x14ac:dyDescent="0.25">
      <c r="A41" s="75"/>
      <c r="B41" s="75"/>
      <c r="C41" s="75"/>
      <c r="D41" s="75"/>
      <c r="E41" s="75"/>
      <c r="F41" s="75"/>
      <c r="G41" s="75"/>
      <c r="H41" s="75"/>
      <c r="I41" s="75"/>
      <c r="J41" s="75"/>
      <c r="K41" s="75"/>
      <c r="L41" s="75"/>
      <c r="M41" s="75"/>
      <c r="N41" s="75"/>
      <c r="O41" s="75"/>
      <c r="P41" s="75"/>
      <c r="Q41" s="75"/>
      <c r="R41" s="75"/>
      <c r="S41" s="75"/>
      <c r="T41" s="75"/>
      <c r="U41" s="75"/>
      <c r="V41" s="75"/>
      <c r="W41" s="75"/>
      <c r="X41" s="75"/>
      <c r="Y41" s="75"/>
      <c r="Z41" s="75"/>
      <c r="AA41" s="75"/>
      <c r="AB41" s="75"/>
      <c r="AC41" s="75"/>
    </row>
    <row r="42" spans="1:29" x14ac:dyDescent="0.25">
      <c r="A42" s="75"/>
      <c r="B42" s="75"/>
      <c r="C42" s="75"/>
      <c r="D42" s="75"/>
      <c r="E42" s="75"/>
      <c r="F42" s="75"/>
      <c r="G42" s="75"/>
      <c r="H42" s="75"/>
      <c r="I42" s="75"/>
      <c r="J42" s="75"/>
      <c r="K42" s="75"/>
      <c r="L42" s="75"/>
      <c r="M42" s="75"/>
      <c r="N42" s="75"/>
      <c r="O42" s="75"/>
      <c r="P42" s="75"/>
      <c r="Q42" s="75"/>
      <c r="R42" s="75"/>
      <c r="S42" s="75"/>
      <c r="T42" s="75"/>
      <c r="U42" s="75"/>
      <c r="V42" s="75"/>
      <c r="W42" s="75"/>
      <c r="X42" s="75"/>
      <c r="Y42" s="75"/>
      <c r="Z42" s="75"/>
      <c r="AA42" s="75"/>
      <c r="AB42" s="75"/>
      <c r="AC42" s="75"/>
    </row>
  </sheetData>
  <pageMargins left="0.7" right="0.7" top="0.75" bottom="0.75" header="0.3" footer="0.3"/>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0D4806-D66D-452D-9586-F92A7DA9252D}">
  <dimension ref="A1:AQ208"/>
  <sheetViews>
    <sheetView topLeftCell="C44" zoomScale="115" zoomScaleNormal="115" workbookViewId="0">
      <selection activeCell="E42" sqref="E42"/>
    </sheetView>
  </sheetViews>
  <sheetFormatPr defaultRowHeight="15" x14ac:dyDescent="0.25"/>
  <cols>
    <col min="1" max="1" width="17.7109375" customWidth="1"/>
    <col min="2" max="2" width="16.85546875" customWidth="1"/>
    <col min="3" max="3" width="14.7109375" customWidth="1"/>
    <col min="4" max="4" width="20.28515625" customWidth="1"/>
    <col min="5" max="5" width="18.28515625" style="33" customWidth="1"/>
    <col min="6" max="6" width="15.28515625" style="25" customWidth="1"/>
    <col min="7" max="7" width="18.28515625" style="13" customWidth="1"/>
    <col min="8" max="8" width="24.5703125" style="9" customWidth="1"/>
    <col min="9" max="9" width="22.42578125" customWidth="1"/>
    <col min="10" max="10" width="24.85546875" customWidth="1"/>
    <col min="11" max="11" width="23.5703125" customWidth="1"/>
    <col min="12" max="12" width="27.140625" customWidth="1"/>
    <col min="13" max="13" width="32.5703125" customWidth="1"/>
    <col min="14" max="14" width="25.140625" style="6" customWidth="1"/>
    <col min="15" max="15" width="17.42578125" customWidth="1"/>
    <col min="16" max="16" width="18" customWidth="1"/>
    <col min="17" max="17" width="24.140625" customWidth="1"/>
    <col min="18" max="18" width="21.140625" customWidth="1"/>
    <col min="19" max="19" width="21" customWidth="1"/>
    <col min="20" max="20" width="23.7109375" customWidth="1"/>
    <col min="21" max="21" width="15.42578125" bestFit="1" customWidth="1"/>
    <col min="22" max="22" width="16.28515625" bestFit="1" customWidth="1"/>
    <col min="23" max="23" width="15.85546875" bestFit="1" customWidth="1"/>
    <col min="24" max="24" width="10.85546875" bestFit="1" customWidth="1"/>
    <col min="25" max="25" width="10.28515625" bestFit="1" customWidth="1"/>
    <col min="26" max="26" width="9.28515625" bestFit="1" customWidth="1"/>
    <col min="27" max="27" width="11.28515625" bestFit="1" customWidth="1"/>
    <col min="28" max="29" width="9.28515625" bestFit="1" customWidth="1"/>
    <col min="30" max="31" width="11.28515625" bestFit="1" customWidth="1"/>
    <col min="32" max="32" width="12" bestFit="1" customWidth="1"/>
    <col min="33" max="33" width="8.85546875" bestFit="1" customWidth="1"/>
    <col min="34" max="38" width="8.5703125" bestFit="1" customWidth="1"/>
    <col min="39" max="41" width="16.28515625" bestFit="1" customWidth="1"/>
    <col min="42" max="42" width="11.28515625" bestFit="1" customWidth="1"/>
    <col min="43" max="43" width="8.5703125" bestFit="1" customWidth="1"/>
    <col min="44" max="44" width="13.42578125" bestFit="1" customWidth="1"/>
    <col min="45" max="45" width="13.140625" bestFit="1" customWidth="1"/>
    <col min="46" max="53" width="8.5703125" bestFit="1" customWidth="1"/>
    <col min="54" max="54" width="15.5703125" bestFit="1" customWidth="1"/>
    <col min="55" max="55" width="17.7109375" bestFit="1" customWidth="1"/>
    <col min="56" max="58" width="8.5703125" bestFit="1" customWidth="1"/>
    <col min="59" max="59" width="20.5703125" bestFit="1" customWidth="1"/>
    <col min="60" max="60" width="9.140625" bestFit="1" customWidth="1"/>
    <col min="61" max="68" width="8.5703125" bestFit="1" customWidth="1"/>
    <col min="69" max="69" width="11.42578125" bestFit="1" customWidth="1"/>
    <col min="70" max="71" width="8.140625" bestFit="1" customWidth="1"/>
    <col min="72" max="78" width="8.5703125" bestFit="1" customWidth="1"/>
    <col min="79" max="79" width="9.85546875" bestFit="1" customWidth="1"/>
    <col min="80" max="80" width="11.28515625" bestFit="1" customWidth="1"/>
  </cols>
  <sheetData>
    <row r="1" spans="1:28" ht="30" x14ac:dyDescent="0.25">
      <c r="A1" s="2" t="s">
        <v>94</v>
      </c>
      <c r="B1" s="2" t="s">
        <v>95</v>
      </c>
      <c r="C1" s="1" t="s">
        <v>96</v>
      </c>
      <c r="H1" s="7" t="s">
        <v>52</v>
      </c>
      <c r="I1" s="2" t="s">
        <v>35</v>
      </c>
      <c r="J1" s="2" t="s">
        <v>36</v>
      </c>
      <c r="K1" s="2" t="s">
        <v>37</v>
      </c>
      <c r="L1" s="2" t="s">
        <v>38</v>
      </c>
      <c r="M1" s="2" t="s">
        <v>43</v>
      </c>
      <c r="P1" s="2" t="s">
        <v>18</v>
      </c>
      <c r="Q1" s="2" t="s">
        <v>19</v>
      </c>
      <c r="R1" s="2" t="s">
        <v>20</v>
      </c>
      <c r="S1" s="2" t="s">
        <v>58</v>
      </c>
      <c r="T1" s="2" t="s">
        <v>59</v>
      </c>
      <c r="U1" s="2" t="s">
        <v>21</v>
      </c>
      <c r="V1" s="2" t="s">
        <v>99</v>
      </c>
      <c r="W1" s="4" t="s">
        <v>98</v>
      </c>
      <c r="X1" s="2" t="s">
        <v>97</v>
      </c>
      <c r="Y1" s="2" t="s">
        <v>100</v>
      </c>
      <c r="Z1" s="2" t="s">
        <v>101</v>
      </c>
      <c r="AA1" s="2" t="s">
        <v>102</v>
      </c>
      <c r="AB1" s="2" t="s">
        <v>103</v>
      </c>
    </row>
    <row r="2" spans="1:28" x14ac:dyDescent="0.25">
      <c r="A2" s="3" t="s">
        <v>23</v>
      </c>
      <c r="B2" s="3">
        <v>85</v>
      </c>
      <c r="C2" t="str" cm="1">
        <f t="array" ref="C2:C6">IF(B2:B6&gt;=35,"pass","fail")</f>
        <v>pass</v>
      </c>
      <c r="H2" s="8" t="s">
        <v>19</v>
      </c>
      <c r="I2" s="3" t="s">
        <v>44</v>
      </c>
      <c r="J2" s="3" t="s">
        <v>45</v>
      </c>
      <c r="K2" s="3" t="s">
        <v>46</v>
      </c>
      <c r="L2" s="3" t="s">
        <v>53</v>
      </c>
      <c r="M2">
        <f>HLOOKUP(K2,H2:L4,2,FALSE)</f>
        <v>200</v>
      </c>
      <c r="P2" s="3" t="s">
        <v>22</v>
      </c>
      <c r="Q2" s="3" t="s">
        <v>23</v>
      </c>
      <c r="R2" s="3" t="s">
        <v>24</v>
      </c>
      <c r="S2" s="3" t="s">
        <v>60</v>
      </c>
      <c r="T2" s="3">
        <v>2</v>
      </c>
      <c r="U2" s="3">
        <v>30000</v>
      </c>
      <c r="V2" s="3" t="b">
        <f>AND(Table3[[#This Row],[Experience]]&gt;4,Table3[[#This Row],[Salary]]&gt;40000)</f>
        <v>0</v>
      </c>
      <c r="W2" s="3" t="str">
        <f>IF(Table3[[#This Row],[Salary]]&gt;50000,"high","low")</f>
        <v>low</v>
      </c>
      <c r="X2" s="3" t="b">
        <f>OR(Table3[[#This Row],[Salary]]&lt;50000,Table3[[#This Row],[Experience]]&lt;3)</f>
        <v>1</v>
      </c>
      <c r="Y2" s="3" t="b">
        <f>NOT(Table3[[#This Row],[bonus]])</f>
        <v>0</v>
      </c>
      <c r="Z2" s="3" t="b">
        <f>_xlfn.XOR(Table3[[#This Row],[Salary]]&gt;=30000,Table3[[#This Row],[Experience]]&gt;=5)</f>
        <v>1</v>
      </c>
      <c r="AA2" s="3" t="str">
        <f>IF(_xlfn.XOR(Table3[[#This Row],[Salary]]&gt;=30000,Table3[[#This Row],[Experience]]&gt;=5),"Reward","no Reward")</f>
        <v>Reward</v>
      </c>
      <c r="AB2" s="3"/>
    </row>
    <row r="3" spans="1:28" x14ac:dyDescent="0.25">
      <c r="A3" s="3" t="s">
        <v>26</v>
      </c>
      <c r="B3" s="3">
        <v>42</v>
      </c>
      <c r="C3" t="str">
        <v>pass</v>
      </c>
      <c r="H3" s="8" t="s">
        <v>24</v>
      </c>
      <c r="I3" s="3">
        <v>100</v>
      </c>
      <c r="J3" s="3">
        <v>150</v>
      </c>
      <c r="K3" s="3">
        <v>200</v>
      </c>
      <c r="L3" s="3">
        <v>250</v>
      </c>
      <c r="M3">
        <f>HLOOKUP(I2,H2:L4,3,FALSE)</f>
        <v>20</v>
      </c>
      <c r="P3" s="3" t="s">
        <v>25</v>
      </c>
      <c r="Q3" s="3" t="s">
        <v>26</v>
      </c>
      <c r="R3" s="3" t="s">
        <v>27</v>
      </c>
      <c r="S3" s="3" t="s">
        <v>61</v>
      </c>
      <c r="T3" s="3">
        <v>3</v>
      </c>
      <c r="U3" s="3">
        <v>35000</v>
      </c>
      <c r="V3" s="3" t="b">
        <f>AND(Table3[[#This Row],[Experience]]&gt;4,Table3[[#This Row],[Salary]]&gt;40000)</f>
        <v>0</v>
      </c>
      <c r="W3" s="3" t="str">
        <f>IF(Table3[[#This Row],[Salary]]&gt;50000,"high","low")</f>
        <v>low</v>
      </c>
      <c r="X3" s="3" t="b">
        <f>OR(Table3[[#This Row],[Salary]]&lt;50000,Table3[[#This Row],[Experience]]&lt;3)</f>
        <v>1</v>
      </c>
      <c r="Y3" s="3" t="b">
        <f>NOT(Table3[[#This Row],[bonus]])</f>
        <v>0</v>
      </c>
      <c r="Z3" s="3" t="b">
        <f>_xlfn.XOR(Table3[[#This Row],[Salary]]&gt;=30000,Table3[[#This Row],[Experience]]&gt;=5)</f>
        <v>1</v>
      </c>
      <c r="AA3" s="3" t="str">
        <f>IF(_xlfn.XOR(Table3[[#This Row],[Salary]]&gt;=30000,Table3[[#This Row],[Experience]]&gt;=5),"Reward","no Reward")</f>
        <v>Reward</v>
      </c>
      <c r="AB3" s="3"/>
    </row>
    <row r="4" spans="1:28" ht="30" x14ac:dyDescent="0.25">
      <c r="A4" s="3" t="s">
        <v>29</v>
      </c>
      <c r="B4" s="3">
        <v>76</v>
      </c>
      <c r="C4" t="str">
        <v>pass</v>
      </c>
      <c r="H4" s="8" t="s">
        <v>54</v>
      </c>
      <c r="I4" s="3">
        <v>20</v>
      </c>
      <c r="J4" s="3">
        <v>30</v>
      </c>
      <c r="K4" s="3">
        <v>50</v>
      </c>
      <c r="L4" s="3">
        <v>60</v>
      </c>
      <c r="M4">
        <f>HLOOKUP(I1,H1:L4,4,FALSE)</f>
        <v>20</v>
      </c>
      <c r="P4" s="3" t="s">
        <v>28</v>
      </c>
      <c r="Q4" s="3" t="s">
        <v>29</v>
      </c>
      <c r="R4" s="3" t="s">
        <v>30</v>
      </c>
      <c r="S4" s="3" t="s">
        <v>62</v>
      </c>
      <c r="T4" s="3">
        <v>5</v>
      </c>
      <c r="U4" s="3">
        <v>45000</v>
      </c>
      <c r="V4" s="3" t="b">
        <f>AND(Table3[[#This Row],[Experience]]&gt;4,Table3[[#This Row],[Salary]]&gt;40000)</f>
        <v>1</v>
      </c>
      <c r="W4" s="3" t="str">
        <f>IF(Table3[[#This Row],[Salary]]&gt;50000,"high","low")</f>
        <v>low</v>
      </c>
      <c r="X4" s="3" t="b">
        <f>OR(Table3[[#This Row],[Salary]]&lt;50000,Table3[[#This Row],[Experience]]&lt;3)</f>
        <v>1</v>
      </c>
      <c r="Y4" s="3" t="b">
        <f>NOT(Table3[[#This Row],[bonus]])</f>
        <v>0</v>
      </c>
      <c r="Z4" s="3" t="b">
        <f>_xlfn.XOR(Table3[[#This Row],[Salary]]&gt;=30000,Table3[[#This Row],[Experience]]&gt;=5)</f>
        <v>0</v>
      </c>
      <c r="AA4" s="3" t="str">
        <f>IF(_xlfn.XOR(Table3[[#This Row],[Salary]]&gt;=30000,Table3[[#This Row],[Experience]]&gt;=5),"Reward","no Reward")</f>
        <v>no Reward</v>
      </c>
      <c r="AB4" s="3"/>
    </row>
    <row r="5" spans="1:28" x14ac:dyDescent="0.25">
      <c r="A5" s="3" t="s">
        <v>32</v>
      </c>
      <c r="B5" s="3">
        <v>28</v>
      </c>
      <c r="C5" t="str">
        <v>fail</v>
      </c>
      <c r="P5" s="3" t="s">
        <v>31</v>
      </c>
      <c r="Q5" s="3" t="s">
        <v>32</v>
      </c>
      <c r="R5" s="3" t="s">
        <v>33</v>
      </c>
      <c r="S5" s="3" t="s">
        <v>60</v>
      </c>
      <c r="T5" s="3">
        <v>4</v>
      </c>
      <c r="U5" s="3">
        <v>40000</v>
      </c>
      <c r="V5" s="3" t="b">
        <f>AND(Table3[[#This Row],[Experience]]&gt;4,Table3[[#This Row],[Salary]]&gt;40000)</f>
        <v>0</v>
      </c>
      <c r="W5" s="3" t="str">
        <f>IF(Table3[[#This Row],[Salary]]&gt;50000,"high","low")</f>
        <v>low</v>
      </c>
      <c r="X5" s="3" t="b">
        <f>OR(Table3[[#This Row],[Salary]]&lt;50000,Table3[[#This Row],[Experience]]&lt;3)</f>
        <v>1</v>
      </c>
      <c r="Y5" s="3" t="b">
        <f>NOT(Table3[[#This Row],[bonus]])</f>
        <v>0</v>
      </c>
      <c r="Z5" s="3" t="b">
        <f>_xlfn.XOR(Table3[[#This Row],[Salary]]&gt;=30000,Table3[[#This Row],[Experience]]&gt;=5)</f>
        <v>1</v>
      </c>
      <c r="AA5" s="3" t="str">
        <f>IF(_xlfn.XOR(Table3[[#This Row],[Salary]]&gt;=30000,Table3[[#This Row],[Experience]]&gt;=5),"Reward","no Reward")</f>
        <v>Reward</v>
      </c>
      <c r="AB5" s="3"/>
    </row>
    <row r="6" spans="1:28" x14ac:dyDescent="0.25">
      <c r="A6" s="3" t="s">
        <v>49</v>
      </c>
      <c r="B6" s="3">
        <v>35</v>
      </c>
      <c r="C6" t="str">
        <v>pass</v>
      </c>
      <c r="P6" s="3" t="s">
        <v>48</v>
      </c>
      <c r="Q6" s="3" t="s">
        <v>49</v>
      </c>
      <c r="R6" s="3" t="s">
        <v>50</v>
      </c>
      <c r="S6" s="3" t="s">
        <v>63</v>
      </c>
      <c r="T6" s="3">
        <v>3</v>
      </c>
      <c r="U6" s="3">
        <v>38000</v>
      </c>
      <c r="V6" s="3" t="b">
        <f>AND(Table3[[#This Row],[Experience]]&gt;4,Table3[[#This Row],[Salary]]&gt;40000)</f>
        <v>0</v>
      </c>
      <c r="W6" s="3" t="str">
        <f>IF(Table3[[#This Row],[Salary]]&gt;50000,"high","low")</f>
        <v>low</v>
      </c>
      <c r="X6" s="3" t="b">
        <f>OR(Table3[[#This Row],[Salary]]&lt;50000,Table3[[#This Row],[Experience]]&lt;3)</f>
        <v>1</v>
      </c>
      <c r="Y6" s="3" t="b">
        <f>NOT(Table3[[#This Row],[bonus]])</f>
        <v>0</v>
      </c>
      <c r="Z6" s="3" t="b">
        <f>_xlfn.XOR(Table3[[#This Row],[Salary]]&gt;=30000,Table3[[#This Row],[Experience]]&gt;=5)</f>
        <v>1</v>
      </c>
      <c r="AA6" s="3" t="str">
        <f>IF(_xlfn.XOR(Table3[[#This Row],[Salary]]&gt;=30000,Table3[[#This Row],[Experience]]&gt;=5),"Reward","no Reward")</f>
        <v>Reward</v>
      </c>
      <c r="AB6" s="3"/>
    </row>
    <row r="7" spans="1:28" ht="30" x14ac:dyDescent="0.25">
      <c r="P7" s="3" t="s">
        <v>64</v>
      </c>
      <c r="Q7" s="3" t="s">
        <v>65</v>
      </c>
      <c r="R7" s="3" t="s">
        <v>30</v>
      </c>
      <c r="S7" s="3" t="s">
        <v>61</v>
      </c>
      <c r="T7" s="3">
        <v>6</v>
      </c>
      <c r="U7" s="3">
        <v>55000</v>
      </c>
      <c r="V7" s="3" t="b">
        <f>AND(Table3[[#This Row],[Experience]]&gt;4,Table3[[#This Row],[Salary]]&gt;40000)</f>
        <v>1</v>
      </c>
      <c r="W7" s="3" t="str">
        <f>IF(Table3[[#This Row],[Salary]]&gt;50000,"high","low")</f>
        <v>high</v>
      </c>
      <c r="X7" s="3" t="b">
        <f>OR(Table3[[#This Row],[Salary]]&lt;50000,Table3[[#This Row],[Experience]]&lt;3)</f>
        <v>0</v>
      </c>
      <c r="Y7" s="3" t="b">
        <f>NOT(Table3[[#This Row],[bonus]])</f>
        <v>1</v>
      </c>
      <c r="Z7" s="3" t="b">
        <f>_xlfn.XOR(Table3[[#This Row],[Salary]]&gt;=30000,Table3[[#This Row],[Experience]]&gt;=5)</f>
        <v>0</v>
      </c>
      <c r="AA7" s="3" t="str">
        <f>IF(_xlfn.XOR(Table3[[#This Row],[Salary]]&gt;=30000,Table3[[#This Row],[Experience]]&gt;=5),"Reward","no Reward")</f>
        <v>no Reward</v>
      </c>
      <c r="AB7" s="3"/>
    </row>
    <row r="8" spans="1:28" x14ac:dyDescent="0.25">
      <c r="P8" s="3" t="s">
        <v>66</v>
      </c>
      <c r="Q8" s="3" t="s">
        <v>67</v>
      </c>
      <c r="R8" s="3" t="s">
        <v>24</v>
      </c>
      <c r="S8" s="3" t="s">
        <v>62</v>
      </c>
      <c r="T8" s="3">
        <v>2</v>
      </c>
      <c r="U8" s="3">
        <v>32000</v>
      </c>
      <c r="V8" s="3" t="b">
        <f>AND(Table3[[#This Row],[Experience]]&gt;4,Table3[[#This Row],[Salary]]&gt;40000)</f>
        <v>0</v>
      </c>
      <c r="W8" s="3" t="str">
        <f>IF(Table3[[#This Row],[Salary]]&gt;50000,"high","low")</f>
        <v>low</v>
      </c>
      <c r="X8" s="3" t="b">
        <f>OR(Table3[[#This Row],[Salary]]&lt;50000,Table3[[#This Row],[Experience]]&lt;3)</f>
        <v>1</v>
      </c>
      <c r="Y8" s="3" t="b">
        <f>NOT(Table3[[#This Row],[bonus]])</f>
        <v>0</v>
      </c>
      <c r="Z8" s="3" t="b">
        <f>_xlfn.XOR(Table3[[#This Row],[Salary]]&gt;=30000,Table3[[#This Row],[Experience]]&gt;=5)</f>
        <v>1</v>
      </c>
      <c r="AA8" s="3" t="str">
        <f>IF(_xlfn.XOR(Table3[[#This Row],[Salary]]&gt;=30000,Table3[[#This Row],[Experience]]&gt;=5),"Reward","no Reward")</f>
        <v>Reward</v>
      </c>
      <c r="AB8" s="3"/>
    </row>
    <row r="9" spans="1:28" ht="30" x14ac:dyDescent="0.25">
      <c r="A9" s="2" t="s">
        <v>18</v>
      </c>
      <c r="B9" s="2" t="s">
        <v>19</v>
      </c>
      <c r="C9" s="2" t="s">
        <v>20</v>
      </c>
      <c r="D9" s="2" t="s">
        <v>21</v>
      </c>
      <c r="E9" s="34" t="s">
        <v>51</v>
      </c>
      <c r="F9" s="26" t="s">
        <v>55</v>
      </c>
      <c r="G9" s="14" t="s">
        <v>56</v>
      </c>
      <c r="H9" s="10" t="s">
        <v>57</v>
      </c>
      <c r="P9" s="3" t="s">
        <v>68</v>
      </c>
      <c r="Q9" s="3" t="s">
        <v>69</v>
      </c>
      <c r="R9" s="3" t="s">
        <v>27</v>
      </c>
      <c r="S9" s="3" t="s">
        <v>63</v>
      </c>
      <c r="T9" s="3">
        <v>5</v>
      </c>
      <c r="U9" s="3">
        <v>42000</v>
      </c>
      <c r="V9" s="3" t="b">
        <f>AND(Table3[[#This Row],[Experience]]&gt;4,Table3[[#This Row],[Salary]]&gt;40000)</f>
        <v>1</v>
      </c>
      <c r="W9" s="3" t="str">
        <f>IF(Table3[[#This Row],[Salary]]&gt;50000,"high","low")</f>
        <v>low</v>
      </c>
      <c r="X9" s="3" t="b">
        <f>OR(Table3[[#This Row],[Salary]]&lt;50000,Table3[[#This Row],[Experience]]&lt;3)</f>
        <v>1</v>
      </c>
      <c r="Y9" s="3" t="b">
        <f>NOT(Table3[[#This Row],[bonus]])</f>
        <v>0</v>
      </c>
      <c r="Z9" s="3" t="b">
        <f>_xlfn.XOR(Table3[[#This Row],[Salary]]&gt;=30000,Table3[[#This Row],[Experience]]&gt;=5)</f>
        <v>0</v>
      </c>
      <c r="AA9" s="3" t="str">
        <f>IF(_xlfn.XOR(Table3[[#This Row],[Salary]]&gt;=30000,Table3[[#This Row],[Experience]]&gt;=5),"Reward","no Reward")</f>
        <v>no Reward</v>
      </c>
      <c r="AB9" s="3"/>
    </row>
    <row r="10" spans="1:28" ht="30" x14ac:dyDescent="0.25">
      <c r="A10" s="3" t="s">
        <v>22</v>
      </c>
      <c r="B10" s="3" t="s">
        <v>23</v>
      </c>
      <c r="C10" s="3" t="s">
        <v>24</v>
      </c>
      <c r="D10" s="3">
        <v>30000</v>
      </c>
      <c r="E10" s="33">
        <f>VLOOKUP(A12,A9:D14,4,FALSE)</f>
        <v>45000</v>
      </c>
      <c r="F10" s="25" t="str">
        <f>_xlfn.XLOOKUP(B10,B9:B14,A9:A14)</f>
        <v>E101</v>
      </c>
      <c r="G10" s="13">
        <f>MATCH(A12,A9:A14,0)</f>
        <v>4</v>
      </c>
      <c r="H10" s="9" t="str">
        <f>INDEX(C9:C14,5)</f>
        <v>Finance</v>
      </c>
      <c r="P10" s="3" t="s">
        <v>70</v>
      </c>
      <c r="Q10" s="3" t="s">
        <v>71</v>
      </c>
      <c r="R10" s="3" t="s">
        <v>30</v>
      </c>
      <c r="S10" s="3" t="s">
        <v>60</v>
      </c>
      <c r="T10" s="3">
        <v>7</v>
      </c>
      <c r="U10" s="3">
        <v>60000</v>
      </c>
      <c r="V10" s="3" t="b">
        <f>AND(Table3[[#This Row],[Experience]]&gt;4,Table3[[#This Row],[Salary]]&gt;40000)</f>
        <v>1</v>
      </c>
      <c r="W10" s="3" t="str">
        <f>IF(Table3[[#This Row],[Salary]]&gt;50000,"high","low")</f>
        <v>high</v>
      </c>
      <c r="X10" s="3" t="b">
        <f>OR(Table3[[#This Row],[Salary]]&lt;50000,Table3[[#This Row],[Experience]]&lt;3)</f>
        <v>0</v>
      </c>
      <c r="Y10" s="3" t="b">
        <f>NOT(Table3[[#This Row],[bonus]])</f>
        <v>1</v>
      </c>
      <c r="Z10" s="3" t="b">
        <f>_xlfn.XOR(Table3[[#This Row],[Salary]]&gt;=30000,Table3[[#This Row],[Experience]]&gt;=5)</f>
        <v>0</v>
      </c>
      <c r="AA10" s="3" t="str">
        <f>IF(_xlfn.XOR(Table3[[#This Row],[Salary]]&gt;=30000,Table3[[#This Row],[Experience]]&gt;=5),"Reward","no Reward")</f>
        <v>no Reward</v>
      </c>
      <c r="AB10" s="3"/>
    </row>
    <row r="11" spans="1:28" x14ac:dyDescent="0.25">
      <c r="A11" s="3" t="s">
        <v>25</v>
      </c>
      <c r="B11" s="3" t="s">
        <v>26</v>
      </c>
      <c r="C11" s="3" t="s">
        <v>27</v>
      </c>
      <c r="D11" s="3">
        <v>35000</v>
      </c>
      <c r="E11" s="33" t="str">
        <f>VLOOKUP(A14,A9:D14,3,FALSE)</f>
        <v>Marketing</v>
      </c>
      <c r="F11" s="25" t="str">
        <f>_xlfn.XLOOKUP(D12,D9:D14,B9:B14)</f>
        <v>Kiran</v>
      </c>
      <c r="G11" s="13">
        <f>MATCH(A10,A10:A14,0)</f>
        <v>1</v>
      </c>
      <c r="J11" s="1" t="s">
        <v>0</v>
      </c>
      <c r="K11" s="1" t="s">
        <v>1</v>
      </c>
      <c r="L11" s="1" t="s">
        <v>2</v>
      </c>
      <c r="P11" s="3" t="s">
        <v>72</v>
      </c>
      <c r="Q11" s="3" t="s">
        <v>73</v>
      </c>
      <c r="R11" s="3" t="s">
        <v>33</v>
      </c>
      <c r="S11" s="3" t="s">
        <v>61</v>
      </c>
      <c r="T11" s="3">
        <v>4</v>
      </c>
      <c r="U11" s="3">
        <v>41000</v>
      </c>
      <c r="V11" s="3" t="b">
        <f>AND(Table3[[#This Row],[Experience]]&gt;4,Table3[[#This Row],[Salary]]&gt;40000)</f>
        <v>0</v>
      </c>
      <c r="W11" s="3" t="str">
        <f>IF(Table3[[#This Row],[Salary]]&gt;50000,"high","low")</f>
        <v>low</v>
      </c>
      <c r="X11" s="3" t="b">
        <f>OR(Table3[[#This Row],[Salary]]&lt;50000,Table3[[#This Row],[Experience]]&lt;3)</f>
        <v>1</v>
      </c>
      <c r="Y11" s="3" t="b">
        <f>NOT(Table3[[#This Row],[bonus]])</f>
        <v>0</v>
      </c>
      <c r="Z11" s="3" t="b">
        <f>_xlfn.XOR(Table3[[#This Row],[Salary]]&gt;=30000,Table3[[#This Row],[Experience]]&gt;=5)</f>
        <v>1</v>
      </c>
      <c r="AA11" s="3" t="str">
        <f>IF(_xlfn.XOR(Table3[[#This Row],[Salary]]&gt;=30000,Table3[[#This Row],[Experience]]&gt;=5),"Reward","no Reward")</f>
        <v>Reward</v>
      </c>
      <c r="AB11" s="3"/>
    </row>
    <row r="12" spans="1:28" x14ac:dyDescent="0.25">
      <c r="A12" s="3" t="s">
        <v>28</v>
      </c>
      <c r="B12" s="3" t="s">
        <v>29</v>
      </c>
      <c r="C12" s="3" t="s">
        <v>30</v>
      </c>
      <c r="D12" s="3">
        <v>45000</v>
      </c>
      <c r="E12" s="33" t="str">
        <f>VLOOKUP(A11,A9:D14,2,FALSE)</f>
        <v>Priya</v>
      </c>
      <c r="F12" s="25" t="str">
        <f>_xlfn.XLOOKUP(B13,B9:B14,C9:C14)</f>
        <v>Finance</v>
      </c>
      <c r="G12" s="13">
        <f>MATCH(D12,D10:D14,0)</f>
        <v>3</v>
      </c>
      <c r="J12" t="s">
        <v>3</v>
      </c>
      <c r="K12" t="s">
        <v>10</v>
      </c>
      <c r="L12">
        <v>1000</v>
      </c>
      <c r="P12" s="3" t="s">
        <v>74</v>
      </c>
      <c r="Q12" s="3" t="s">
        <v>75</v>
      </c>
      <c r="R12" s="3" t="s">
        <v>50</v>
      </c>
      <c r="S12" s="3" t="s">
        <v>62</v>
      </c>
      <c r="T12" s="3">
        <v>3</v>
      </c>
      <c r="U12" s="3">
        <v>37000</v>
      </c>
      <c r="V12" s="3" t="b">
        <f>AND(Table3[[#This Row],[Experience]]&gt;4,Table3[[#This Row],[Salary]]&gt;40000)</f>
        <v>0</v>
      </c>
      <c r="W12" s="3" t="str">
        <f>IF(Table3[[#This Row],[Salary]]&gt;50000,"high","low")</f>
        <v>low</v>
      </c>
      <c r="X12" s="3" t="b">
        <f>OR(Table3[[#This Row],[Salary]]&lt;50000,Table3[[#This Row],[Experience]]&lt;3)</f>
        <v>1</v>
      </c>
      <c r="Y12" s="3" t="b">
        <f>NOT(Table3[[#This Row],[bonus]])</f>
        <v>0</v>
      </c>
      <c r="Z12" s="3" t="b">
        <f>_xlfn.XOR(Table3[[#This Row],[Salary]]&gt;=30000,Table3[[#This Row],[Experience]]&gt;=5)</f>
        <v>1</v>
      </c>
      <c r="AA12" s="3" t="str">
        <f>IF(_xlfn.XOR(Table3[[#This Row],[Salary]]&gt;=30000,Table3[[#This Row],[Experience]]&gt;=5),"Reward","no Reward")</f>
        <v>Reward</v>
      </c>
      <c r="AB12" s="3"/>
    </row>
    <row r="13" spans="1:28" ht="30" x14ac:dyDescent="0.25">
      <c r="A13" s="3" t="s">
        <v>31</v>
      </c>
      <c r="B13" s="3" t="s">
        <v>32</v>
      </c>
      <c r="C13" s="3" t="s">
        <v>33</v>
      </c>
      <c r="D13" s="3">
        <v>40000</v>
      </c>
      <c r="G13" s="13">
        <f>MATCH(C10,C10:C14,0)</f>
        <v>1</v>
      </c>
      <c r="J13" t="s">
        <v>4</v>
      </c>
      <c r="K13" t="s">
        <v>11</v>
      </c>
      <c r="L13">
        <v>50000</v>
      </c>
      <c r="P13" s="3" t="s">
        <v>76</v>
      </c>
      <c r="Q13" s="3" t="s">
        <v>77</v>
      </c>
      <c r="R13" s="3" t="s">
        <v>30</v>
      </c>
      <c r="S13" s="3" t="s">
        <v>63</v>
      </c>
      <c r="T13" s="3">
        <v>8</v>
      </c>
      <c r="U13" s="3">
        <v>65000</v>
      </c>
      <c r="V13" s="3" t="b">
        <f>AND(Table3[[#This Row],[Experience]]&gt;4,Table3[[#This Row],[Salary]]&gt;40000)</f>
        <v>1</v>
      </c>
      <c r="W13" s="3" t="str">
        <f>IF(Table3[[#This Row],[Salary]]&gt;50000,"high","low")</f>
        <v>high</v>
      </c>
      <c r="X13" s="3" t="b">
        <f>OR(Table3[[#This Row],[Salary]]&lt;50000,Table3[[#This Row],[Experience]]&lt;3)</f>
        <v>0</v>
      </c>
      <c r="Y13" s="3" t="b">
        <f>NOT(Table3[[#This Row],[bonus]])</f>
        <v>1</v>
      </c>
      <c r="Z13" s="3" t="b">
        <f>_xlfn.XOR(Table3[[#This Row],[Salary]]&gt;=30000,Table3[[#This Row],[Experience]]&gt;=5)</f>
        <v>0</v>
      </c>
      <c r="AA13" s="3" t="str">
        <f>IF(_xlfn.XOR(Table3[[#This Row],[Salary]]&gt;=30000,Table3[[#This Row],[Experience]]&gt;=5),"Reward","no Reward")</f>
        <v>no Reward</v>
      </c>
      <c r="AB13" s="3"/>
    </row>
    <row r="14" spans="1:28" ht="30" x14ac:dyDescent="0.25">
      <c r="A14" s="3" t="s">
        <v>48</v>
      </c>
      <c r="B14" s="3" t="s">
        <v>49</v>
      </c>
      <c r="C14" s="3" t="s">
        <v>50</v>
      </c>
      <c r="D14" s="3">
        <v>38000</v>
      </c>
      <c r="J14" t="s">
        <v>5</v>
      </c>
      <c r="K14" t="s">
        <v>12</v>
      </c>
      <c r="L14">
        <v>10000</v>
      </c>
      <c r="P14" s="3" t="s">
        <v>78</v>
      </c>
      <c r="Q14" s="3" t="s">
        <v>79</v>
      </c>
      <c r="R14" s="3" t="s">
        <v>24</v>
      </c>
      <c r="S14" s="3" t="s">
        <v>60</v>
      </c>
      <c r="T14" s="3">
        <v>1</v>
      </c>
      <c r="U14" s="3">
        <v>28000</v>
      </c>
      <c r="V14" s="3" t="b">
        <f>AND(Table3[[#This Row],[Experience]]&gt;4,Table3[[#This Row],[Salary]]&gt;40000)</f>
        <v>0</v>
      </c>
      <c r="W14" s="3" t="str">
        <f>IF(Table3[[#This Row],[Salary]]&gt;50000,"high","low")</f>
        <v>low</v>
      </c>
      <c r="X14" s="3" t="b">
        <f>OR(Table3[[#This Row],[Salary]]&lt;50000,Table3[[#This Row],[Experience]]&lt;3)</f>
        <v>1</v>
      </c>
      <c r="Y14" s="3" t="b">
        <f>NOT(Table3[[#This Row],[bonus]])</f>
        <v>0</v>
      </c>
      <c r="Z14" s="3" t="b">
        <f>_xlfn.XOR(Table3[[#This Row],[Salary]]&gt;=30000,Table3[[#This Row],[Experience]]&gt;=5)</f>
        <v>0</v>
      </c>
      <c r="AA14" s="3" t="str">
        <f>IF(_xlfn.XOR(Table3[[#This Row],[Salary]]&gt;=30000,Table3[[#This Row],[Experience]]&gt;=5),"Reward","no Reward")</f>
        <v>no Reward</v>
      </c>
      <c r="AB14" s="3"/>
    </row>
    <row r="15" spans="1:28" x14ac:dyDescent="0.25">
      <c r="J15" t="s">
        <v>6</v>
      </c>
      <c r="K15" t="s">
        <v>13</v>
      </c>
      <c r="L15">
        <v>20000</v>
      </c>
      <c r="P15" s="3" t="s">
        <v>80</v>
      </c>
      <c r="Q15" s="3" t="s">
        <v>81</v>
      </c>
      <c r="R15" s="3" t="s">
        <v>27</v>
      </c>
      <c r="S15" s="3" t="s">
        <v>62</v>
      </c>
      <c r="T15" s="3">
        <v>2</v>
      </c>
      <c r="U15" s="3">
        <v>33000</v>
      </c>
      <c r="V15" s="3" t="b">
        <f>AND(Table3[[#This Row],[Experience]]&gt;4,Table3[[#This Row],[Salary]]&gt;40000)</f>
        <v>0</v>
      </c>
      <c r="W15" s="3" t="str">
        <f>IF(Table3[[#This Row],[Salary]]&gt;50000,"high","low")</f>
        <v>low</v>
      </c>
      <c r="X15" s="3" t="b">
        <f>OR(Table3[[#This Row],[Salary]]&lt;50000,Table3[[#This Row],[Experience]]&lt;3)</f>
        <v>1</v>
      </c>
      <c r="Y15" s="3" t="b">
        <f>NOT(Table3[[#This Row],[bonus]])</f>
        <v>0</v>
      </c>
      <c r="Z15" s="3" t="b">
        <f>_xlfn.XOR(Table3[[#This Row],[Salary]]&gt;=30000,Table3[[#This Row],[Experience]]&gt;=5)</f>
        <v>1</v>
      </c>
      <c r="AA15" s="3" t="str">
        <f>IF(_xlfn.XOR(Table3[[#This Row],[Salary]]&gt;=30000,Table3[[#This Row],[Experience]]&gt;=5),"Reward","no Reward")</f>
        <v>Reward</v>
      </c>
      <c r="AB15" s="3"/>
    </row>
    <row r="16" spans="1:28" ht="30" x14ac:dyDescent="0.25">
      <c r="J16" t="s">
        <v>7</v>
      </c>
      <c r="K16" t="s">
        <v>14</v>
      </c>
      <c r="L16">
        <v>100000</v>
      </c>
      <c r="P16" s="3" t="s">
        <v>82</v>
      </c>
      <c r="Q16" s="3" t="s">
        <v>83</v>
      </c>
      <c r="R16" s="3" t="s">
        <v>33</v>
      </c>
      <c r="S16" s="3" t="s">
        <v>63</v>
      </c>
      <c r="T16" s="3">
        <v>6</v>
      </c>
      <c r="U16" s="3">
        <v>50000</v>
      </c>
      <c r="V16" s="3" t="b">
        <f>AND(Table3[[#This Row],[Experience]]&gt;4,Table3[[#This Row],[Salary]]&gt;40000)</f>
        <v>1</v>
      </c>
      <c r="W16" s="3" t="str">
        <f>IF(Table3[[#This Row],[Salary]]&gt;50000,"high","low")</f>
        <v>low</v>
      </c>
      <c r="X16" s="3" t="b">
        <f>OR(Table3[[#This Row],[Salary]]&lt;50000,Table3[[#This Row],[Experience]]&lt;3)</f>
        <v>0</v>
      </c>
      <c r="Y16" s="3" t="b">
        <f>NOT(Table3[[#This Row],[bonus]])</f>
        <v>1</v>
      </c>
      <c r="Z16" s="3" t="b">
        <f>_xlfn.XOR(Table3[[#This Row],[Salary]]&gt;=30000,Table3[[#This Row],[Experience]]&gt;=5)</f>
        <v>0</v>
      </c>
      <c r="AA16" s="3" t="str">
        <f>IF(_xlfn.XOR(Table3[[#This Row],[Salary]]&gt;=30000,Table3[[#This Row],[Experience]]&gt;=5),"Reward","no Reward")</f>
        <v>no Reward</v>
      </c>
      <c r="AB16" s="3"/>
    </row>
    <row r="17" spans="1:28" ht="30" x14ac:dyDescent="0.25">
      <c r="J17" t="s">
        <v>8</v>
      </c>
      <c r="K17" t="s">
        <v>15</v>
      </c>
      <c r="L17">
        <v>50000</v>
      </c>
      <c r="P17" s="3" t="s">
        <v>84</v>
      </c>
      <c r="Q17" s="3" t="s">
        <v>85</v>
      </c>
      <c r="R17" s="3" t="s">
        <v>30</v>
      </c>
      <c r="S17" s="3" t="s">
        <v>61</v>
      </c>
      <c r="T17" s="3">
        <v>5</v>
      </c>
      <c r="U17" s="3">
        <v>53000</v>
      </c>
      <c r="V17" s="3" t="b">
        <f>AND(Table3[[#This Row],[Experience]]&gt;4,Table3[[#This Row],[Salary]]&gt;40000)</f>
        <v>1</v>
      </c>
      <c r="W17" s="3" t="str">
        <f>IF(Table3[[#This Row],[Salary]]&gt;50000,"high","low")</f>
        <v>high</v>
      </c>
      <c r="X17" s="3" t="b">
        <f>OR(Table3[[#This Row],[Salary]]&lt;50000,Table3[[#This Row],[Experience]]&lt;3)</f>
        <v>0</v>
      </c>
      <c r="Y17" s="3" t="b">
        <f>NOT(Table3[[#This Row],[bonus]])</f>
        <v>1</v>
      </c>
      <c r="Z17" s="3" t="b">
        <f>_xlfn.XOR(Table3[[#This Row],[Salary]]&gt;=30000,Table3[[#This Row],[Experience]]&gt;=5)</f>
        <v>0</v>
      </c>
      <c r="AA17" s="3" t="str">
        <f>IF(_xlfn.XOR(Table3[[#This Row],[Salary]]&gt;=30000,Table3[[#This Row],[Experience]]&gt;=5),"Reward","no Reward")</f>
        <v>no Reward</v>
      </c>
      <c r="AB17" s="3"/>
    </row>
    <row r="18" spans="1:28" x14ac:dyDescent="0.25">
      <c r="J18" t="s">
        <v>9</v>
      </c>
      <c r="K18" t="s">
        <v>13</v>
      </c>
      <c r="L18">
        <v>20000</v>
      </c>
      <c r="P18" s="3" t="s">
        <v>86</v>
      </c>
      <c r="Q18" s="3" t="s">
        <v>87</v>
      </c>
      <c r="R18" s="3" t="s">
        <v>50</v>
      </c>
      <c r="S18" s="3" t="s">
        <v>60</v>
      </c>
      <c r="T18" s="3">
        <v>4</v>
      </c>
      <c r="U18" s="3">
        <v>39000</v>
      </c>
      <c r="V18" s="3" t="b">
        <f>AND(Table3[[#This Row],[Experience]]&gt;4,Table3[[#This Row],[Salary]]&gt;40000)</f>
        <v>0</v>
      </c>
      <c r="W18" s="3" t="str">
        <f>IF(Table3[[#This Row],[Salary]]&gt;50000,"high","low")</f>
        <v>low</v>
      </c>
      <c r="X18" s="3" t="b">
        <f>OR(Table3[[#This Row],[Salary]]&lt;50000,Table3[[#This Row],[Experience]]&lt;3)</f>
        <v>1</v>
      </c>
      <c r="Y18" s="3" t="b">
        <f>NOT(Table3[[#This Row],[bonus]])</f>
        <v>0</v>
      </c>
      <c r="Z18" s="3" t="b">
        <f>_xlfn.XOR(Table3[[#This Row],[Salary]]&gt;=30000,Table3[[#This Row],[Experience]]&gt;=5)</f>
        <v>1</v>
      </c>
      <c r="AA18" s="3" t="str">
        <f>IF(_xlfn.XOR(Table3[[#This Row],[Salary]]&gt;=30000,Table3[[#This Row],[Experience]]&gt;=5),"Reward","no Reward")</f>
        <v>Reward</v>
      </c>
      <c r="AB18" s="3"/>
    </row>
    <row r="19" spans="1:28" ht="30" x14ac:dyDescent="0.25">
      <c r="P19" s="3" t="s">
        <v>88</v>
      </c>
      <c r="Q19" s="3" t="s">
        <v>89</v>
      </c>
      <c r="R19" s="3" t="s">
        <v>24</v>
      </c>
      <c r="S19" s="3" t="s">
        <v>63</v>
      </c>
      <c r="T19" s="3">
        <v>7</v>
      </c>
      <c r="U19" s="3">
        <v>47000</v>
      </c>
      <c r="V19" s="3" t="b">
        <f>AND(Table3[[#This Row],[Experience]]&gt;4,Table3[[#This Row],[Salary]]&gt;40000)</f>
        <v>1</v>
      </c>
      <c r="W19" s="3" t="str">
        <f>IF(Table3[[#This Row],[Salary]]&gt;50000,"high","low")</f>
        <v>low</v>
      </c>
      <c r="X19" s="3" t="b">
        <f>OR(Table3[[#This Row],[Salary]]&lt;50000,Table3[[#This Row],[Experience]]&lt;3)</f>
        <v>1</v>
      </c>
      <c r="Y19" s="3" t="b">
        <f>NOT(Table3[[#This Row],[bonus]])</f>
        <v>0</v>
      </c>
      <c r="Z19" s="3" t="b">
        <f>_xlfn.XOR(Table3[[#This Row],[Salary]]&gt;=30000,Table3[[#This Row],[Experience]]&gt;=5)</f>
        <v>0</v>
      </c>
      <c r="AA19" s="3" t="str">
        <f>IF(_xlfn.XOR(Table3[[#This Row],[Salary]]&gt;=30000,Table3[[#This Row],[Experience]]&gt;=5),"Reward","no Reward")</f>
        <v>no Reward</v>
      </c>
      <c r="AB19" s="3"/>
    </row>
    <row r="20" spans="1:28" x14ac:dyDescent="0.25">
      <c r="P20" s="3" t="s">
        <v>90</v>
      </c>
      <c r="Q20" s="3" t="s">
        <v>91</v>
      </c>
      <c r="R20" s="3" t="s">
        <v>27</v>
      </c>
      <c r="S20" s="3" t="s">
        <v>61</v>
      </c>
      <c r="T20" s="3">
        <v>3</v>
      </c>
      <c r="U20" s="3">
        <v>36000</v>
      </c>
      <c r="V20" s="3" t="b">
        <f>AND(Table3[[#This Row],[Experience]]&gt;4,Table3[[#This Row],[Salary]]&gt;40000)</f>
        <v>0</v>
      </c>
      <c r="W20" s="3" t="str">
        <f>IF(Table3[[#This Row],[Salary]]&gt;50000,"high","low")</f>
        <v>low</v>
      </c>
      <c r="X20" s="3" t="b">
        <f>OR(Table3[[#This Row],[Salary]]&lt;50000,Table3[[#This Row],[Experience]]&lt;3)</f>
        <v>1</v>
      </c>
      <c r="Y20" s="3" t="b">
        <f>NOT(Table3[[#This Row],[bonus]])</f>
        <v>0</v>
      </c>
      <c r="Z20" s="3" t="b">
        <f>_xlfn.XOR(Table3[[#This Row],[Salary]]&gt;=30000,Table3[[#This Row],[Experience]]&gt;=5)</f>
        <v>1</v>
      </c>
      <c r="AA20" s="3" t="str">
        <f>IF(_xlfn.XOR(Table3[[#This Row],[Salary]]&gt;=30000,Table3[[#This Row],[Experience]]&gt;=5),"Reward","no Reward")</f>
        <v>Reward</v>
      </c>
      <c r="AB20" s="3"/>
    </row>
    <row r="21" spans="1:28" ht="30" x14ac:dyDescent="0.25">
      <c r="P21" s="3" t="s">
        <v>92</v>
      </c>
      <c r="Q21" s="3" t="s">
        <v>93</v>
      </c>
      <c r="R21" s="3" t="s">
        <v>30</v>
      </c>
      <c r="S21" s="3" t="s">
        <v>62</v>
      </c>
      <c r="T21" s="3">
        <v>9</v>
      </c>
      <c r="U21" s="3">
        <v>70000</v>
      </c>
      <c r="V21" s="3" t="b">
        <f>AND(Table3[[#This Row],[Experience]]&gt;4,Table3[[#This Row],[Salary]]&gt;40000)</f>
        <v>1</v>
      </c>
      <c r="W21" s="3" t="str">
        <f>IF(Table3[[#This Row],[Salary]]&gt;50000,"high","low")</f>
        <v>high</v>
      </c>
      <c r="X21" s="3" t="b">
        <f>OR(Table3[[#This Row],[Salary]]&lt;50000,Table3[[#This Row],[Experience]]&lt;3)</f>
        <v>0</v>
      </c>
      <c r="Y21" s="3" t="b">
        <f>NOT(Table3[[#This Row],[bonus]])</f>
        <v>1</v>
      </c>
      <c r="Z21" s="3" t="b">
        <f>_xlfn.XOR(Table3[[#This Row],[Salary]]&gt;=30000,Table3[[#This Row],[Experience]]&gt;=5)</f>
        <v>0</v>
      </c>
      <c r="AA21" s="3" t="str">
        <f>IF(_xlfn.XOR(Table3[[#This Row],[Salary]]&gt;=30000,Table3[[#This Row],[Experience]]&gt;=5),"Reward","no Reward")</f>
        <v>no Reward</v>
      </c>
      <c r="AB21" s="3"/>
    </row>
    <row r="22" spans="1:28" x14ac:dyDescent="0.25">
      <c r="J22" s="1" t="s">
        <v>55</v>
      </c>
      <c r="K22" t="s">
        <v>51</v>
      </c>
    </row>
    <row r="23" spans="1:28" x14ac:dyDescent="0.25">
      <c r="K23">
        <f>VLOOKUP(K14,K12:L18,2,FALSE)</f>
        <v>10000</v>
      </c>
      <c r="P23" s="2" t="s">
        <v>94</v>
      </c>
      <c r="Q23" s="2" t="s">
        <v>95</v>
      </c>
      <c r="R23" s="1" t="s">
        <v>96</v>
      </c>
    </row>
    <row r="24" spans="1:28" x14ac:dyDescent="0.25">
      <c r="K24">
        <f>VLOOKUP(J16,J12:L18,3,0)</f>
        <v>100000</v>
      </c>
      <c r="P24" s="3" t="s">
        <v>23</v>
      </c>
      <c r="Q24" s="3">
        <v>85</v>
      </c>
      <c r="R24" t="e" cm="1">
        <f t="array" ref="R24">if</f>
        <v>#NAME?</v>
      </c>
    </row>
    <row r="25" spans="1:28" x14ac:dyDescent="0.25">
      <c r="K25" s="37">
        <f>VLOOKUP(K13,K12:L18,2,FALSE)</f>
        <v>50000</v>
      </c>
      <c r="P25" s="3" t="s">
        <v>26</v>
      </c>
      <c r="Q25" s="3">
        <v>42</v>
      </c>
    </row>
    <row r="26" spans="1:28" x14ac:dyDescent="0.25">
      <c r="P26" s="3" t="s">
        <v>29</v>
      </c>
      <c r="Q26" s="3">
        <v>76</v>
      </c>
    </row>
    <row r="27" spans="1:28" x14ac:dyDescent="0.25">
      <c r="A27" s="2" t="s">
        <v>47</v>
      </c>
      <c r="B27" s="2" t="s">
        <v>35</v>
      </c>
      <c r="C27" s="2" t="s">
        <v>36</v>
      </c>
      <c r="D27" s="2" t="s">
        <v>37</v>
      </c>
      <c r="P27" s="3" t="s">
        <v>32</v>
      </c>
      <c r="Q27" s="3">
        <v>28</v>
      </c>
    </row>
    <row r="28" spans="1:28" x14ac:dyDescent="0.25">
      <c r="A28" s="3">
        <v>1</v>
      </c>
      <c r="B28" s="3" t="s">
        <v>44</v>
      </c>
      <c r="C28" s="3" t="s">
        <v>45</v>
      </c>
      <c r="D28" s="3" t="s">
        <v>46</v>
      </c>
      <c r="P28" s="3" t="s">
        <v>49</v>
      </c>
      <c r="Q28" s="3">
        <v>35</v>
      </c>
    </row>
    <row r="29" spans="1:28" x14ac:dyDescent="0.25">
      <c r="A29" s="3">
        <v>2</v>
      </c>
      <c r="B29" s="3">
        <v>100</v>
      </c>
      <c r="C29" s="3">
        <v>150</v>
      </c>
      <c r="D29" s="3">
        <v>200</v>
      </c>
    </row>
    <row r="31" spans="1:28" x14ac:dyDescent="0.25">
      <c r="E31" s="33" t="s">
        <v>43</v>
      </c>
      <c r="F31" s="25">
        <f>HLOOKUP(B28,B28:D29,2,FALSE)</f>
        <v>100</v>
      </c>
    </row>
    <row r="35" spans="7:28" x14ac:dyDescent="0.25">
      <c r="K35" s="2" t="s">
        <v>18</v>
      </c>
      <c r="L35" s="2" t="s">
        <v>19</v>
      </c>
      <c r="M35" s="2" t="s">
        <v>20</v>
      </c>
      <c r="N35" s="11" t="s">
        <v>21</v>
      </c>
      <c r="R35" s="2"/>
      <c r="S35" s="2" t="s">
        <v>35</v>
      </c>
      <c r="T35" s="2" t="s">
        <v>36</v>
      </c>
      <c r="U35" s="2" t="s">
        <v>37</v>
      </c>
      <c r="V35" s="2" t="s">
        <v>38</v>
      </c>
    </row>
    <row r="36" spans="7:28" x14ac:dyDescent="0.25">
      <c r="K36" s="3" t="s">
        <v>22</v>
      </c>
      <c r="L36" s="3" t="s">
        <v>23</v>
      </c>
      <c r="M36" s="3" t="s">
        <v>24</v>
      </c>
      <c r="N36" s="12">
        <v>30000</v>
      </c>
      <c r="R36" s="3">
        <v>1</v>
      </c>
      <c r="S36" s="3" t="s">
        <v>39</v>
      </c>
      <c r="T36" s="3" t="s">
        <v>40</v>
      </c>
      <c r="U36" s="3" t="s">
        <v>41</v>
      </c>
      <c r="V36" s="3" t="s">
        <v>42</v>
      </c>
    </row>
    <row r="37" spans="7:28" x14ac:dyDescent="0.25">
      <c r="K37" s="3" t="s">
        <v>25</v>
      </c>
      <c r="L37" s="3" t="s">
        <v>26</v>
      </c>
      <c r="M37" s="3" t="s">
        <v>27</v>
      </c>
      <c r="N37" s="12">
        <v>35000</v>
      </c>
      <c r="R37" s="3">
        <v>2</v>
      </c>
      <c r="S37" s="3">
        <v>5000</v>
      </c>
      <c r="T37" s="3">
        <v>6000</v>
      </c>
      <c r="U37" s="3">
        <v>7000</v>
      </c>
      <c r="V37" s="3">
        <v>8000</v>
      </c>
    </row>
    <row r="38" spans="7:28" x14ac:dyDescent="0.25">
      <c r="K38" s="3" t="s">
        <v>28</v>
      </c>
      <c r="L38" s="3" t="s">
        <v>29</v>
      </c>
      <c r="M38" s="3" t="s">
        <v>30</v>
      </c>
      <c r="N38" s="12">
        <v>45000</v>
      </c>
    </row>
    <row r="39" spans="7:28" x14ac:dyDescent="0.25">
      <c r="K39" s="3" t="s">
        <v>31</v>
      </c>
      <c r="L39" s="3" t="s">
        <v>32</v>
      </c>
      <c r="M39" s="3" t="s">
        <v>33</v>
      </c>
      <c r="N39" s="12">
        <v>40000</v>
      </c>
    </row>
    <row r="40" spans="7:28" x14ac:dyDescent="0.25">
      <c r="H40" s="6">
        <f>SUM(Q50:Q98)</f>
        <v>248800</v>
      </c>
      <c r="K40" s="3"/>
      <c r="L40" s="3"/>
      <c r="M40" s="3"/>
      <c r="N40" s="12"/>
    </row>
    <row r="42" spans="7:28" x14ac:dyDescent="0.25">
      <c r="G42" s="25">
        <f>Sheet1!M3</f>
        <v>20</v>
      </c>
      <c r="K42" s="1" t="s">
        <v>17</v>
      </c>
    </row>
    <row r="43" spans="7:28" x14ac:dyDescent="0.25">
      <c r="K43" t="s">
        <v>34</v>
      </c>
      <c r="L43">
        <f>VLOOKUP(K38,K35:N39,4,0)</f>
        <v>45000</v>
      </c>
    </row>
    <row r="47" spans="7:28" x14ac:dyDescent="0.25">
      <c r="AA47" s="1" t="s">
        <v>190</v>
      </c>
      <c r="AB47" s="29" t="s">
        <v>199</v>
      </c>
    </row>
    <row r="48" spans="7:28" x14ac:dyDescent="0.25">
      <c r="AA48" s="1" t="s">
        <v>191</v>
      </c>
      <c r="AB48" s="30">
        <v>123456</v>
      </c>
    </row>
    <row r="49" spans="1:32" s="38" customFormat="1" ht="17.25" customHeight="1" thickBot="1" x14ac:dyDescent="0.35">
      <c r="A49" s="15" t="s">
        <v>104</v>
      </c>
      <c r="B49" s="15" t="s">
        <v>105</v>
      </c>
      <c r="C49" s="15" t="s">
        <v>106</v>
      </c>
      <c r="D49" s="15" t="s">
        <v>107</v>
      </c>
      <c r="E49" s="35" t="s">
        <v>16</v>
      </c>
      <c r="F49" s="27" t="s">
        <v>108</v>
      </c>
      <c r="G49" s="16" t="s">
        <v>109</v>
      </c>
      <c r="H49" s="17" t="s">
        <v>110</v>
      </c>
      <c r="I49" s="15" t="s">
        <v>111</v>
      </c>
      <c r="J49" s="15" t="s">
        <v>112</v>
      </c>
      <c r="K49" s="15" t="s">
        <v>113</v>
      </c>
      <c r="L49" s="15" t="s">
        <v>114</v>
      </c>
      <c r="M49" s="15" t="s">
        <v>115</v>
      </c>
      <c r="N49" s="18" t="s">
        <v>116</v>
      </c>
      <c r="O49" s="15" t="s">
        <v>200</v>
      </c>
      <c r="P49" s="41" t="s">
        <v>201</v>
      </c>
      <c r="Q49" s="44" t="s">
        <v>24</v>
      </c>
      <c r="R49" s="52" t="s">
        <v>54</v>
      </c>
      <c r="S49" s="2" t="s">
        <v>224</v>
      </c>
      <c r="T49" s="54" t="s">
        <v>195</v>
      </c>
      <c r="U49" s="54" t="s">
        <v>196</v>
      </c>
      <c r="V49" s="54" t="s">
        <v>197</v>
      </c>
      <c r="W49" s="55" t="s">
        <v>198</v>
      </c>
      <c r="X49" s="55" t="s">
        <v>256</v>
      </c>
      <c r="AA49" s="39" t="s">
        <v>192</v>
      </c>
      <c r="AB49" s="40">
        <v>0.26</v>
      </c>
    </row>
    <row r="50" spans="1:32" ht="19.5" thickBot="1" x14ac:dyDescent="0.35">
      <c r="A50" s="19">
        <v>1</v>
      </c>
      <c r="B50" s="19">
        <v>8270</v>
      </c>
      <c r="C50" s="19">
        <v>295</v>
      </c>
      <c r="D50" s="19" t="s">
        <v>117</v>
      </c>
      <c r="E50" s="22">
        <v>1</v>
      </c>
      <c r="F50" s="28">
        <v>801.66</v>
      </c>
      <c r="G50" s="20">
        <v>0.13</v>
      </c>
      <c r="H50" s="21">
        <v>45282.44127314815</v>
      </c>
      <c r="I50" s="19" t="s">
        <v>118</v>
      </c>
      <c r="J50" s="19" t="s">
        <v>119</v>
      </c>
      <c r="K50" s="19">
        <v>46</v>
      </c>
      <c r="L50" s="19" t="s">
        <v>120</v>
      </c>
      <c r="M50" s="19" t="s">
        <v>121</v>
      </c>
      <c r="N50" s="22">
        <v>83.36</v>
      </c>
      <c r="O50" s="42">
        <v>5</v>
      </c>
      <c r="P50" s="43" t="s">
        <v>202</v>
      </c>
      <c r="Q50" s="45">
        <v>5200</v>
      </c>
      <c r="R50" s="53">
        <v>800</v>
      </c>
      <c r="S50" s="3">
        <v>2000</v>
      </c>
      <c r="T50" s="54" t="s">
        <v>220</v>
      </c>
      <c r="U50" s="54"/>
      <c r="V50" s="54" t="s">
        <v>221</v>
      </c>
      <c r="W50" s="55"/>
      <c r="X50" s="55"/>
    </row>
    <row r="51" spans="1:32" ht="18.75" x14ac:dyDescent="0.25">
      <c r="A51" s="19">
        <v>2</v>
      </c>
      <c r="B51" s="19">
        <v>1860</v>
      </c>
      <c r="C51" s="19">
        <v>546</v>
      </c>
      <c r="D51" s="19" t="s">
        <v>122</v>
      </c>
      <c r="E51" s="22">
        <v>1</v>
      </c>
      <c r="F51" s="28">
        <v>225.03</v>
      </c>
      <c r="G51" s="20">
        <v>0.06</v>
      </c>
      <c r="H51" s="21">
        <v>45417.444826388892</v>
      </c>
      <c r="I51" s="19" t="s">
        <v>123</v>
      </c>
      <c r="J51" s="19" t="s">
        <v>124</v>
      </c>
      <c r="K51" s="19">
        <v>59</v>
      </c>
      <c r="L51" s="19" t="s">
        <v>125</v>
      </c>
      <c r="M51" s="19" t="s">
        <v>126</v>
      </c>
      <c r="N51" s="22">
        <v>58.88</v>
      </c>
      <c r="O51" s="42">
        <v>5</v>
      </c>
      <c r="P51" s="43" t="s">
        <v>203</v>
      </c>
      <c r="Q51" s="45">
        <v>3400</v>
      </c>
      <c r="R51" s="53">
        <v>450</v>
      </c>
      <c r="S51" s="3">
        <v>4000</v>
      </c>
      <c r="T51" s="47" t="s">
        <v>24</v>
      </c>
      <c r="U51" s="47"/>
      <c r="V51" s="47"/>
      <c r="W51" s="47" t="s">
        <v>24</v>
      </c>
      <c r="X51" s="47" t="s">
        <v>54</v>
      </c>
    </row>
    <row r="52" spans="1:32" ht="18.75" x14ac:dyDescent="0.25">
      <c r="A52" s="19">
        <v>3</v>
      </c>
      <c r="B52" s="19">
        <v>6390</v>
      </c>
      <c r="C52" s="19">
        <v>430</v>
      </c>
      <c r="D52" s="19" t="s">
        <v>127</v>
      </c>
      <c r="E52" s="22">
        <v>2</v>
      </c>
      <c r="F52" s="28">
        <v>544.99</v>
      </c>
      <c r="G52" s="20">
        <v>0.24</v>
      </c>
      <c r="H52" s="21">
        <v>45264.224293981482</v>
      </c>
      <c r="I52" s="19" t="s">
        <v>123</v>
      </c>
      <c r="J52" s="19" t="s">
        <v>128</v>
      </c>
      <c r="K52" s="19">
        <v>61</v>
      </c>
      <c r="L52" s="19" t="s">
        <v>120</v>
      </c>
      <c r="M52" s="19" t="s">
        <v>126</v>
      </c>
      <c r="N52" s="22">
        <v>53.99</v>
      </c>
      <c r="O52" s="42">
        <v>5</v>
      </c>
      <c r="P52" s="43" t="s">
        <v>204</v>
      </c>
      <c r="Q52" s="45">
        <v>6100</v>
      </c>
      <c r="R52" s="53">
        <v>1200</v>
      </c>
      <c r="S52" s="3">
        <v>6000</v>
      </c>
      <c r="V52" t="s">
        <v>24</v>
      </c>
      <c r="W52">
        <v>1</v>
      </c>
    </row>
    <row r="53" spans="1:32" ht="19.5" thickBot="1" x14ac:dyDescent="0.3">
      <c r="A53" s="19">
        <v>4</v>
      </c>
      <c r="B53" s="19">
        <v>6191</v>
      </c>
      <c r="C53" s="19">
        <v>807</v>
      </c>
      <c r="D53" s="19" t="s">
        <v>122</v>
      </c>
      <c r="E53" s="22">
        <v>2</v>
      </c>
      <c r="F53" s="28">
        <v>157.02000000000001</v>
      </c>
      <c r="G53" s="20">
        <v>0.01</v>
      </c>
      <c r="H53" s="21">
        <v>45293.46597222222</v>
      </c>
      <c r="I53" s="19" t="s">
        <v>129</v>
      </c>
      <c r="J53" s="19" t="s">
        <v>130</v>
      </c>
      <c r="K53" s="19">
        <v>69</v>
      </c>
      <c r="L53" s="19" t="s">
        <v>120</v>
      </c>
      <c r="M53" s="19" t="s">
        <v>131</v>
      </c>
      <c r="N53" s="22">
        <v>-11.73</v>
      </c>
      <c r="O53" s="42">
        <v>5</v>
      </c>
      <c r="P53" s="43" t="s">
        <v>205</v>
      </c>
      <c r="Q53" s="45">
        <v>2800</v>
      </c>
      <c r="R53" s="53">
        <v>-100</v>
      </c>
      <c r="S53" s="3">
        <v>8000</v>
      </c>
      <c r="T53" t="s">
        <v>207</v>
      </c>
      <c r="U53">
        <v>5077.5510204081629</v>
      </c>
      <c r="V53" s="46" t="s">
        <v>54</v>
      </c>
      <c r="W53" s="46">
        <v>0.9619468381973868</v>
      </c>
      <c r="X53" s="46">
        <v>1</v>
      </c>
      <c r="AA53" s="64" t="s">
        <v>189</v>
      </c>
      <c r="AB53" s="64"/>
      <c r="AC53" t="s">
        <v>195</v>
      </c>
      <c r="AD53" t="s">
        <v>196</v>
      </c>
      <c r="AE53" t="s">
        <v>197</v>
      </c>
      <c r="AF53" t="s">
        <v>198</v>
      </c>
    </row>
    <row r="54" spans="1:32" ht="19.5" thickBot="1" x14ac:dyDescent="0.3">
      <c r="A54" s="19">
        <v>5</v>
      </c>
      <c r="B54" s="19">
        <v>6734</v>
      </c>
      <c r="C54" s="19">
        <v>319</v>
      </c>
      <c r="D54" s="19" t="s">
        <v>132</v>
      </c>
      <c r="E54" s="22">
        <v>2</v>
      </c>
      <c r="F54" s="28">
        <v>155.51</v>
      </c>
      <c r="G54" s="20">
        <v>0.14000000000000001</v>
      </c>
      <c r="H54" s="21">
        <v>45461.042696759258</v>
      </c>
      <c r="I54" s="19" t="s">
        <v>123</v>
      </c>
      <c r="J54" s="19" t="s">
        <v>133</v>
      </c>
      <c r="K54" s="19">
        <v>29</v>
      </c>
      <c r="L54" s="19" t="s">
        <v>125</v>
      </c>
      <c r="M54" s="19" t="s">
        <v>126</v>
      </c>
      <c r="N54" s="22">
        <v>-44.5</v>
      </c>
      <c r="O54" s="42">
        <v>5</v>
      </c>
      <c r="P54" s="43" t="s">
        <v>202</v>
      </c>
      <c r="Q54" s="45">
        <v>7500</v>
      </c>
      <c r="R54" s="53">
        <v>1800</v>
      </c>
      <c r="S54" s="3">
        <v>10000</v>
      </c>
      <c r="T54" t="s">
        <v>208</v>
      </c>
      <c r="U54">
        <v>248.21240674387215</v>
      </c>
      <c r="V54" s="57" t="s">
        <v>226</v>
      </c>
      <c r="W54" s="56"/>
      <c r="AA54" s="23" t="s">
        <v>184</v>
      </c>
      <c r="AB54" t="s">
        <v>185</v>
      </c>
      <c r="AC54" s="1" t="s">
        <v>191</v>
      </c>
      <c r="AD54" s="1" t="s">
        <v>194</v>
      </c>
      <c r="AE54" s="33" t="s">
        <v>16</v>
      </c>
      <c r="AF54" s="1" t="s">
        <v>193</v>
      </c>
    </row>
    <row r="55" spans="1:32" ht="18.75" x14ac:dyDescent="0.25">
      <c r="A55" s="19">
        <v>6</v>
      </c>
      <c r="B55" s="19">
        <v>7265</v>
      </c>
      <c r="C55" s="19">
        <v>282</v>
      </c>
      <c r="D55" s="19" t="s">
        <v>134</v>
      </c>
      <c r="E55" s="22">
        <v>3</v>
      </c>
      <c r="F55" s="28">
        <v>225.65</v>
      </c>
      <c r="G55" s="20">
        <v>0.18</v>
      </c>
      <c r="H55" s="21">
        <v>45357.260740740741</v>
      </c>
      <c r="I55" s="19" t="s">
        <v>129</v>
      </c>
      <c r="J55" s="19" t="s">
        <v>135</v>
      </c>
      <c r="K55" s="19">
        <v>60</v>
      </c>
      <c r="L55" s="19" t="s">
        <v>136</v>
      </c>
      <c r="M55" s="19" t="s">
        <v>126</v>
      </c>
      <c r="N55" s="22">
        <v>25.78</v>
      </c>
      <c r="O55" s="42">
        <v>5</v>
      </c>
      <c r="P55" s="43" t="s">
        <v>203</v>
      </c>
      <c r="Q55" s="45">
        <v>4100</v>
      </c>
      <c r="R55" s="45">
        <v>600</v>
      </c>
      <c r="T55" t="s">
        <v>209</v>
      </c>
      <c r="U55">
        <v>4900</v>
      </c>
      <c r="V55" s="47" t="s">
        <v>225</v>
      </c>
      <c r="W55" s="47" t="s">
        <v>223</v>
      </c>
      <c r="AA55" s="24" t="s">
        <v>129</v>
      </c>
      <c r="AB55" s="5">
        <v>2969.58</v>
      </c>
      <c r="AC55" s="32">
        <v>30000</v>
      </c>
      <c r="AD55">
        <v>-12</v>
      </c>
      <c r="AE55" s="33">
        <v>1</v>
      </c>
      <c r="AF55" s="36">
        <v>12</v>
      </c>
    </row>
    <row r="56" spans="1:32" ht="18.75" x14ac:dyDescent="0.25">
      <c r="A56" s="19">
        <v>7</v>
      </c>
      <c r="B56" s="19">
        <v>1466</v>
      </c>
      <c r="C56" s="19">
        <v>276</v>
      </c>
      <c r="D56" s="19" t="s">
        <v>122</v>
      </c>
      <c r="E56" s="22">
        <v>3</v>
      </c>
      <c r="F56" s="28">
        <v>631.96</v>
      </c>
      <c r="G56" s="20">
        <v>0.09</v>
      </c>
      <c r="H56" s="21">
        <v>45214.562858796293</v>
      </c>
      <c r="I56" s="19" t="s">
        <v>137</v>
      </c>
      <c r="J56" s="19" t="s">
        <v>138</v>
      </c>
      <c r="K56" s="19">
        <v>69</v>
      </c>
      <c r="L56" s="19" t="s">
        <v>136</v>
      </c>
      <c r="M56" s="19" t="s">
        <v>131</v>
      </c>
      <c r="N56" s="22">
        <v>68.36</v>
      </c>
      <c r="O56" s="42">
        <v>5</v>
      </c>
      <c r="P56" s="43" t="s">
        <v>204</v>
      </c>
      <c r="Q56" s="45">
        <v>3200</v>
      </c>
      <c r="R56" s="45">
        <v>300</v>
      </c>
      <c r="T56" t="s">
        <v>210</v>
      </c>
      <c r="U56">
        <v>5200</v>
      </c>
      <c r="V56">
        <v>4000</v>
      </c>
      <c r="W56">
        <v>16</v>
      </c>
      <c r="AA56" s="24" t="s">
        <v>118</v>
      </c>
      <c r="AB56" s="5">
        <v>6456.49</v>
      </c>
      <c r="AC56" s="32">
        <v>78888</v>
      </c>
      <c r="AD56">
        <v>13</v>
      </c>
      <c r="AE56" s="33">
        <v>1</v>
      </c>
      <c r="AF56">
        <v>23</v>
      </c>
    </row>
    <row r="57" spans="1:32" ht="18.75" x14ac:dyDescent="0.25">
      <c r="A57" s="19">
        <v>8</v>
      </c>
      <c r="B57" s="19">
        <v>5426</v>
      </c>
      <c r="C57" s="19">
        <v>574</v>
      </c>
      <c r="D57" s="19" t="s">
        <v>139</v>
      </c>
      <c r="E57" s="22">
        <v>1</v>
      </c>
      <c r="F57" s="28">
        <v>522.87</v>
      </c>
      <c r="G57" s="20">
        <v>0.28999999999999998</v>
      </c>
      <c r="H57" s="21">
        <v>45428.073611111111</v>
      </c>
      <c r="I57" s="19" t="s">
        <v>118</v>
      </c>
      <c r="J57" s="19" t="s">
        <v>140</v>
      </c>
      <c r="K57" s="19">
        <v>45</v>
      </c>
      <c r="L57" s="19" t="s">
        <v>120</v>
      </c>
      <c r="M57" s="19" t="s">
        <v>126</v>
      </c>
      <c r="N57" s="22">
        <v>19.23</v>
      </c>
      <c r="O57" s="42">
        <v>4</v>
      </c>
      <c r="P57" s="43" t="s">
        <v>205</v>
      </c>
      <c r="Q57" s="45">
        <v>5600</v>
      </c>
      <c r="R57" s="45">
        <v>950</v>
      </c>
      <c r="T57" t="s">
        <v>211</v>
      </c>
      <c r="U57">
        <v>1737.486847207105</v>
      </c>
      <c r="V57">
        <v>6000</v>
      </c>
      <c r="W57">
        <v>16</v>
      </c>
      <c r="AA57" s="24" t="s">
        <v>137</v>
      </c>
      <c r="AB57" s="5">
        <v>4975.42</v>
      </c>
      <c r="AC57" s="32">
        <v>39999</v>
      </c>
      <c r="AD57">
        <v>-99</v>
      </c>
      <c r="AE57" s="33">
        <v>2</v>
      </c>
      <c r="AF57" s="36">
        <v>1</v>
      </c>
    </row>
    <row r="58" spans="1:32" ht="18.75" x14ac:dyDescent="0.25">
      <c r="A58" s="19">
        <v>9</v>
      </c>
      <c r="B58" s="19">
        <v>6578</v>
      </c>
      <c r="C58" s="19">
        <v>948</v>
      </c>
      <c r="D58" s="19" t="s">
        <v>134</v>
      </c>
      <c r="E58" s="22">
        <v>4</v>
      </c>
      <c r="F58" s="28">
        <v>202.66</v>
      </c>
      <c r="G58" s="20">
        <v>0.12</v>
      </c>
      <c r="H58" s="21">
        <v>45508.717812499999</v>
      </c>
      <c r="I58" s="19" t="s">
        <v>118</v>
      </c>
      <c r="J58" s="19" t="s">
        <v>141</v>
      </c>
      <c r="K58" s="19">
        <v>37</v>
      </c>
      <c r="L58" s="19" t="s">
        <v>136</v>
      </c>
      <c r="M58" s="19" t="s">
        <v>131</v>
      </c>
      <c r="N58" s="22">
        <v>28.61</v>
      </c>
      <c r="O58" s="42">
        <v>5</v>
      </c>
      <c r="P58" s="43" t="s">
        <v>202</v>
      </c>
      <c r="Q58" s="45">
        <v>4900</v>
      </c>
      <c r="R58" s="45">
        <v>700</v>
      </c>
      <c r="T58" t="s">
        <v>212</v>
      </c>
      <c r="U58">
        <v>3018860.5442176857</v>
      </c>
      <c r="V58">
        <v>8000</v>
      </c>
      <c r="W58">
        <v>13</v>
      </c>
      <c r="AA58" s="24" t="s">
        <v>123</v>
      </c>
      <c r="AB58" s="5">
        <v>3848.8399999999997</v>
      </c>
      <c r="AC58" s="32">
        <v>12999</v>
      </c>
      <c r="AD58">
        <v>-13</v>
      </c>
      <c r="AE58" s="33">
        <v>2</v>
      </c>
      <c r="AF58" s="36">
        <v>245</v>
      </c>
    </row>
    <row r="59" spans="1:32" ht="18.75" x14ac:dyDescent="0.25">
      <c r="A59" s="19">
        <v>10</v>
      </c>
      <c r="B59" s="19">
        <v>9322</v>
      </c>
      <c r="C59" s="19">
        <v>459</v>
      </c>
      <c r="D59" s="19" t="s">
        <v>127</v>
      </c>
      <c r="E59" s="22">
        <v>3</v>
      </c>
      <c r="F59" s="28">
        <v>401.52</v>
      </c>
      <c r="G59" s="20">
        <v>0.23</v>
      </c>
      <c r="H59" s="21">
        <v>45278.777002314811</v>
      </c>
      <c r="I59" s="19" t="s">
        <v>118</v>
      </c>
      <c r="J59" s="19" t="s">
        <v>142</v>
      </c>
      <c r="K59" s="19">
        <v>67</v>
      </c>
      <c r="L59" s="19" t="s">
        <v>120</v>
      </c>
      <c r="M59" s="19" t="s">
        <v>131</v>
      </c>
      <c r="N59" s="22">
        <v>35.18</v>
      </c>
      <c r="O59" s="42">
        <v>5</v>
      </c>
      <c r="P59" s="43" t="s">
        <v>203</v>
      </c>
      <c r="Q59" s="45">
        <v>2200</v>
      </c>
      <c r="R59" s="45">
        <v>-50</v>
      </c>
      <c r="T59" t="s">
        <v>213</v>
      </c>
      <c r="U59">
        <v>-0.89418014203052465</v>
      </c>
      <c r="V59">
        <v>10000</v>
      </c>
      <c r="W59">
        <v>3</v>
      </c>
      <c r="AA59" s="24" t="s">
        <v>151</v>
      </c>
      <c r="AB59" s="5">
        <v>2886.18</v>
      </c>
      <c r="AC59" s="32">
        <v>3456</v>
      </c>
      <c r="AD59">
        <v>12</v>
      </c>
      <c r="AE59" s="33">
        <v>2</v>
      </c>
      <c r="AF59" s="36">
        <v>0</v>
      </c>
    </row>
    <row r="60" spans="1:32" ht="19.5" thickBot="1" x14ac:dyDescent="0.3">
      <c r="A60" s="19">
        <v>11</v>
      </c>
      <c r="B60" s="19">
        <v>2685</v>
      </c>
      <c r="C60" s="19">
        <v>745</v>
      </c>
      <c r="D60" s="19" t="s">
        <v>117</v>
      </c>
      <c r="E60" s="22">
        <v>3</v>
      </c>
      <c r="F60" s="28">
        <v>346.31</v>
      </c>
      <c r="G60" s="20">
        <v>0.06</v>
      </c>
      <c r="H60" s="21">
        <v>45438.122754629629</v>
      </c>
      <c r="I60" s="19" t="s">
        <v>118</v>
      </c>
      <c r="J60" s="19" t="s">
        <v>143</v>
      </c>
      <c r="K60" s="19">
        <v>36</v>
      </c>
      <c r="L60" s="19" t="s">
        <v>125</v>
      </c>
      <c r="M60" s="19" t="s">
        <v>131</v>
      </c>
      <c r="N60" s="22">
        <v>76.819999999999993</v>
      </c>
      <c r="O60" s="42">
        <v>5</v>
      </c>
      <c r="P60" s="43" t="s">
        <v>204</v>
      </c>
      <c r="Q60" s="45">
        <v>6800</v>
      </c>
      <c r="R60" s="45">
        <v>1400</v>
      </c>
      <c r="T60" t="s">
        <v>214</v>
      </c>
      <c r="U60">
        <v>0.25212348246420713</v>
      </c>
      <c r="V60" s="46" t="s">
        <v>222</v>
      </c>
      <c r="W60" s="46">
        <v>0</v>
      </c>
      <c r="AA60" s="24" t="s">
        <v>186</v>
      </c>
      <c r="AB60" s="5">
        <v>21136.51</v>
      </c>
      <c r="AC60" s="32">
        <v>7890</v>
      </c>
      <c r="AD60">
        <v>0</v>
      </c>
      <c r="AE60" s="33">
        <v>3</v>
      </c>
      <c r="AF60" s="36">
        <v>0</v>
      </c>
    </row>
    <row r="61" spans="1:32" ht="18.75" x14ac:dyDescent="0.25">
      <c r="A61" s="19">
        <v>12</v>
      </c>
      <c r="B61" s="19">
        <v>1769</v>
      </c>
      <c r="C61" s="19">
        <v>564</v>
      </c>
      <c r="D61" s="19" t="s">
        <v>139</v>
      </c>
      <c r="E61" s="22">
        <v>1</v>
      </c>
      <c r="F61" s="28">
        <v>434.15</v>
      </c>
      <c r="G61" s="20">
        <v>0.05</v>
      </c>
      <c r="H61" s="21">
        <v>45195.221180555556</v>
      </c>
      <c r="I61" s="19" t="s">
        <v>129</v>
      </c>
      <c r="J61" s="19" t="s">
        <v>144</v>
      </c>
      <c r="K61" s="19">
        <v>61</v>
      </c>
      <c r="L61" s="19" t="s">
        <v>125</v>
      </c>
      <c r="M61" s="19" t="s">
        <v>126</v>
      </c>
      <c r="N61" s="22">
        <v>26.24</v>
      </c>
      <c r="O61" s="42">
        <v>5</v>
      </c>
      <c r="P61" s="43" t="s">
        <v>205</v>
      </c>
      <c r="Q61" s="45">
        <v>3700</v>
      </c>
      <c r="R61" s="45">
        <v>500</v>
      </c>
      <c r="T61" t="s">
        <v>215</v>
      </c>
      <c r="U61">
        <v>6600</v>
      </c>
      <c r="AC61" s="32">
        <v>1234</v>
      </c>
      <c r="AD61">
        <v>9</v>
      </c>
      <c r="AE61" s="33">
        <v>3</v>
      </c>
      <c r="AF61" s="36">
        <v>9</v>
      </c>
    </row>
    <row r="62" spans="1:32" ht="18.75" x14ac:dyDescent="0.25">
      <c r="A62" s="19">
        <v>13</v>
      </c>
      <c r="B62" s="19">
        <v>7949</v>
      </c>
      <c r="C62" s="19">
        <v>334</v>
      </c>
      <c r="D62" s="19" t="s">
        <v>132</v>
      </c>
      <c r="E62" s="22">
        <v>3</v>
      </c>
      <c r="F62" s="28">
        <v>189.87</v>
      </c>
      <c r="G62" s="20">
        <v>0.25</v>
      </c>
      <c r="H62" s="21">
        <v>45273.995740740742</v>
      </c>
      <c r="I62" s="19" t="s">
        <v>137</v>
      </c>
      <c r="J62" s="19" t="s">
        <v>145</v>
      </c>
      <c r="K62" s="19">
        <v>65</v>
      </c>
      <c r="L62" s="19" t="s">
        <v>125</v>
      </c>
      <c r="M62" s="19" t="s">
        <v>131</v>
      </c>
      <c r="N62" s="22">
        <v>39.909999999999997</v>
      </c>
      <c r="O62" s="42">
        <v>5</v>
      </c>
      <c r="P62" s="43" t="s">
        <v>202</v>
      </c>
      <c r="Q62" s="45">
        <v>8100</v>
      </c>
      <c r="R62" s="45">
        <v>2200</v>
      </c>
      <c r="T62" t="s">
        <v>216</v>
      </c>
      <c r="U62">
        <v>2200</v>
      </c>
      <c r="AA62" s="23" t="s">
        <v>184</v>
      </c>
      <c r="AB62" t="s">
        <v>187</v>
      </c>
      <c r="AD62">
        <v>8</v>
      </c>
      <c r="AE62" s="33">
        <v>1</v>
      </c>
      <c r="AF62" s="36">
        <v>8</v>
      </c>
    </row>
    <row r="63" spans="1:32" ht="18.75" x14ac:dyDescent="0.25">
      <c r="A63" s="19">
        <v>14</v>
      </c>
      <c r="B63" s="19">
        <v>3433</v>
      </c>
      <c r="C63" s="19">
        <v>536</v>
      </c>
      <c r="D63" s="19" t="s">
        <v>146</v>
      </c>
      <c r="E63" s="22">
        <v>1</v>
      </c>
      <c r="F63" s="28">
        <v>559.1</v>
      </c>
      <c r="G63" s="20">
        <v>0.15</v>
      </c>
      <c r="H63" s="21">
        <v>45262.322534722225</v>
      </c>
      <c r="I63" s="19" t="s">
        <v>123</v>
      </c>
      <c r="J63" s="19" t="s">
        <v>147</v>
      </c>
      <c r="K63" s="19">
        <v>35</v>
      </c>
      <c r="L63" s="19" t="s">
        <v>136</v>
      </c>
      <c r="M63" s="19" t="s">
        <v>131</v>
      </c>
      <c r="N63" s="22">
        <v>69.39</v>
      </c>
      <c r="O63" s="42">
        <v>5</v>
      </c>
      <c r="P63" s="43" t="s">
        <v>203</v>
      </c>
      <c r="Q63" s="45">
        <v>4600</v>
      </c>
      <c r="R63" s="45">
        <v>650</v>
      </c>
      <c r="T63" t="s">
        <v>217</v>
      </c>
      <c r="U63">
        <v>8800</v>
      </c>
      <c r="AA63" s="24" t="s">
        <v>120</v>
      </c>
      <c r="AB63">
        <v>13</v>
      </c>
      <c r="AD63">
        <v>12</v>
      </c>
      <c r="AE63" s="33">
        <v>4</v>
      </c>
      <c r="AF63" s="36">
        <v>0</v>
      </c>
    </row>
    <row r="64" spans="1:32" ht="18.75" x14ac:dyDescent="0.25">
      <c r="A64" s="19">
        <v>15</v>
      </c>
      <c r="B64" s="19">
        <v>6311</v>
      </c>
      <c r="C64" s="19">
        <v>239</v>
      </c>
      <c r="D64" s="19" t="s">
        <v>127</v>
      </c>
      <c r="E64" s="22">
        <v>3</v>
      </c>
      <c r="F64" s="28">
        <v>29.01</v>
      </c>
      <c r="G64" s="20">
        <v>0.26</v>
      </c>
      <c r="H64" s="21">
        <v>45352.742511574077</v>
      </c>
      <c r="I64" s="19" t="s">
        <v>118</v>
      </c>
      <c r="J64" s="19" t="s">
        <v>148</v>
      </c>
      <c r="K64" s="19">
        <v>20</v>
      </c>
      <c r="L64" s="19" t="s">
        <v>125</v>
      </c>
      <c r="M64" s="19" t="s">
        <v>126</v>
      </c>
      <c r="N64" s="22">
        <v>10.33</v>
      </c>
      <c r="O64" s="42">
        <v>5</v>
      </c>
      <c r="P64" s="43" t="s">
        <v>204</v>
      </c>
      <c r="Q64" s="45">
        <v>2900</v>
      </c>
      <c r="R64" s="45">
        <v>250</v>
      </c>
      <c r="T64" t="s">
        <v>218</v>
      </c>
      <c r="U64">
        <v>248800</v>
      </c>
      <c r="AA64" s="24" t="s">
        <v>136</v>
      </c>
      <c r="AB64">
        <v>14</v>
      </c>
      <c r="AD64">
        <v>44</v>
      </c>
      <c r="AE64" s="33">
        <v>3</v>
      </c>
      <c r="AF64" s="36">
        <v>9</v>
      </c>
    </row>
    <row r="65" spans="1:43" ht="19.5" thickBot="1" x14ac:dyDescent="0.3">
      <c r="A65" s="19">
        <v>16</v>
      </c>
      <c r="B65" s="19">
        <v>6051</v>
      </c>
      <c r="C65" s="19">
        <v>587</v>
      </c>
      <c r="D65" s="19" t="s">
        <v>127</v>
      </c>
      <c r="E65" s="22">
        <v>2</v>
      </c>
      <c r="F65" s="28">
        <v>541.5</v>
      </c>
      <c r="G65" s="20">
        <v>0.22</v>
      </c>
      <c r="H65" s="21">
        <v>45516.509085648147</v>
      </c>
      <c r="I65" s="19" t="s">
        <v>129</v>
      </c>
      <c r="J65" s="19" t="s">
        <v>149</v>
      </c>
      <c r="K65" s="19">
        <v>46</v>
      </c>
      <c r="L65" s="19" t="s">
        <v>125</v>
      </c>
      <c r="M65" s="19" t="s">
        <v>131</v>
      </c>
      <c r="N65" s="22">
        <v>41.77</v>
      </c>
      <c r="O65" s="42">
        <v>5</v>
      </c>
      <c r="P65" s="43" t="s">
        <v>205</v>
      </c>
      <c r="Q65" s="45">
        <v>6200</v>
      </c>
      <c r="R65" s="45">
        <v>1100</v>
      </c>
      <c r="T65" s="46" t="s">
        <v>219</v>
      </c>
      <c r="U65" s="46">
        <v>49</v>
      </c>
      <c r="AA65" s="24" t="s">
        <v>125</v>
      </c>
      <c r="AB65">
        <v>22</v>
      </c>
      <c r="AD65">
        <v>44</v>
      </c>
      <c r="AE65" s="33">
        <v>3</v>
      </c>
      <c r="AF65" s="36">
        <v>8</v>
      </c>
      <c r="AO65" s="66"/>
      <c r="AP65" s="67"/>
      <c r="AQ65" s="68"/>
    </row>
    <row r="66" spans="1:43" ht="18.75" x14ac:dyDescent="0.25">
      <c r="A66" s="19">
        <v>17</v>
      </c>
      <c r="B66" s="19">
        <v>7420</v>
      </c>
      <c r="C66" s="19">
        <v>868</v>
      </c>
      <c r="D66" s="19" t="s">
        <v>122</v>
      </c>
      <c r="E66" s="22">
        <v>4</v>
      </c>
      <c r="F66" s="28">
        <v>218.68</v>
      </c>
      <c r="G66" s="20">
        <v>0.19</v>
      </c>
      <c r="H66" s="21">
        <v>45497.367361111108</v>
      </c>
      <c r="I66" s="19" t="s">
        <v>137</v>
      </c>
      <c r="J66" s="19" t="s">
        <v>150</v>
      </c>
      <c r="K66" s="19">
        <v>21</v>
      </c>
      <c r="L66" s="19" t="s">
        <v>125</v>
      </c>
      <c r="M66" s="19" t="s">
        <v>121</v>
      </c>
      <c r="N66" s="22">
        <v>9.93</v>
      </c>
      <c r="O66" s="42">
        <v>5</v>
      </c>
      <c r="P66" s="43" t="s">
        <v>202</v>
      </c>
      <c r="Q66" s="45">
        <v>5300</v>
      </c>
      <c r="R66" s="45">
        <v>850</v>
      </c>
      <c r="AA66" s="24" t="s">
        <v>186</v>
      </c>
      <c r="AB66">
        <v>49</v>
      </c>
      <c r="AD66">
        <v>3</v>
      </c>
      <c r="AE66" s="33">
        <v>1</v>
      </c>
      <c r="AF66" s="36">
        <v>0</v>
      </c>
      <c r="AO66" s="69"/>
      <c r="AP66" s="70"/>
      <c r="AQ66" s="71"/>
    </row>
    <row r="67" spans="1:43" ht="18.75" x14ac:dyDescent="0.25">
      <c r="A67" s="19">
        <v>18</v>
      </c>
      <c r="B67" s="19">
        <v>2184</v>
      </c>
      <c r="C67" s="19">
        <v>384</v>
      </c>
      <c r="D67" s="19" t="s">
        <v>117</v>
      </c>
      <c r="E67" s="22">
        <v>2</v>
      </c>
      <c r="F67" s="28">
        <v>439.07</v>
      </c>
      <c r="G67" s="20">
        <v>0.26</v>
      </c>
      <c r="H67" s="21">
        <v>45457.752418981479</v>
      </c>
      <c r="I67" s="19" t="s">
        <v>151</v>
      </c>
      <c r="J67" s="19" t="s">
        <v>152</v>
      </c>
      <c r="K67" s="19">
        <v>23</v>
      </c>
      <c r="L67" s="19" t="s">
        <v>125</v>
      </c>
      <c r="M67" s="19" t="s">
        <v>121</v>
      </c>
      <c r="N67" s="22">
        <v>97.73</v>
      </c>
      <c r="O67" s="42">
        <v>5</v>
      </c>
      <c r="P67" s="43" t="s">
        <v>203</v>
      </c>
      <c r="Q67" s="45">
        <v>3100</v>
      </c>
      <c r="R67" s="45">
        <v>400</v>
      </c>
      <c r="AD67">
        <v>5</v>
      </c>
      <c r="AE67" s="33">
        <v>3</v>
      </c>
      <c r="AF67" s="36">
        <v>8</v>
      </c>
      <c r="AO67" s="69"/>
      <c r="AP67" s="70"/>
      <c r="AQ67" s="71"/>
    </row>
    <row r="68" spans="1:43" ht="18.75" x14ac:dyDescent="0.25">
      <c r="A68" s="19">
        <v>19</v>
      </c>
      <c r="B68" s="19">
        <v>5555</v>
      </c>
      <c r="C68" s="19">
        <v>701</v>
      </c>
      <c r="D68" s="19" t="s">
        <v>134</v>
      </c>
      <c r="E68" s="22">
        <v>4</v>
      </c>
      <c r="F68" s="28">
        <v>849.82</v>
      </c>
      <c r="G68" s="20">
        <v>0.12</v>
      </c>
      <c r="H68" s="21">
        <v>45353.221319444441</v>
      </c>
      <c r="I68" s="19" t="s">
        <v>118</v>
      </c>
      <c r="J68" s="19" t="s">
        <v>153</v>
      </c>
      <c r="K68" s="19">
        <v>52</v>
      </c>
      <c r="L68" s="19" t="s">
        <v>120</v>
      </c>
      <c r="M68" s="19" t="s">
        <v>131</v>
      </c>
      <c r="N68" s="22">
        <v>54.32</v>
      </c>
      <c r="O68" s="42">
        <v>5</v>
      </c>
      <c r="P68" s="43" t="s">
        <v>204</v>
      </c>
      <c r="Q68" s="45">
        <v>7200</v>
      </c>
      <c r="R68" s="45">
        <v>1600</v>
      </c>
      <c r="AD68">
        <v>-9</v>
      </c>
      <c r="AE68" s="33">
        <v>1</v>
      </c>
      <c r="AF68" s="36">
        <v>0</v>
      </c>
      <c r="AO68" s="69"/>
      <c r="AP68" s="70"/>
      <c r="AQ68" s="71"/>
    </row>
    <row r="69" spans="1:43" ht="18.75" x14ac:dyDescent="0.25">
      <c r="A69" s="19">
        <v>20</v>
      </c>
      <c r="B69" s="19">
        <v>4385</v>
      </c>
      <c r="C69" s="19">
        <v>427</v>
      </c>
      <c r="D69" s="19" t="s">
        <v>132</v>
      </c>
      <c r="E69" s="22">
        <v>1</v>
      </c>
      <c r="F69" s="28">
        <v>886.69</v>
      </c>
      <c r="G69" s="20">
        <v>0.28000000000000003</v>
      </c>
      <c r="H69" s="21">
        <v>45431.55746527778</v>
      </c>
      <c r="I69" s="19" t="s">
        <v>123</v>
      </c>
      <c r="J69" s="19" t="s">
        <v>154</v>
      </c>
      <c r="K69" s="19">
        <v>46</v>
      </c>
      <c r="L69" s="19" t="s">
        <v>125</v>
      </c>
      <c r="M69" s="19" t="s">
        <v>131</v>
      </c>
      <c r="N69" s="22">
        <v>57.35</v>
      </c>
      <c r="O69" s="42">
        <v>5</v>
      </c>
      <c r="P69" s="43" t="s">
        <v>205</v>
      </c>
      <c r="Q69" s="45">
        <v>4300</v>
      </c>
      <c r="R69" s="45">
        <v>550</v>
      </c>
      <c r="T69" s="36"/>
      <c r="AD69">
        <v>9</v>
      </c>
      <c r="AE69" s="33">
        <v>3</v>
      </c>
      <c r="AF69" s="36">
        <v>9</v>
      </c>
      <c r="AO69" s="69"/>
      <c r="AP69" s="70"/>
      <c r="AQ69" s="71"/>
    </row>
    <row r="70" spans="1:43" ht="18.75" x14ac:dyDescent="0.25">
      <c r="A70" s="19">
        <v>21</v>
      </c>
      <c r="B70" s="19">
        <v>7396</v>
      </c>
      <c r="C70" s="19">
        <v>150</v>
      </c>
      <c r="D70" s="19" t="s">
        <v>127</v>
      </c>
      <c r="E70" s="22">
        <v>2</v>
      </c>
      <c r="F70" s="28">
        <v>137.79</v>
      </c>
      <c r="G70" s="20">
        <v>0.04</v>
      </c>
      <c r="H70" s="21">
        <v>45425.419548611113</v>
      </c>
      <c r="I70" s="19" t="s">
        <v>137</v>
      </c>
      <c r="J70" s="19" t="s">
        <v>155</v>
      </c>
      <c r="K70" s="19">
        <v>60</v>
      </c>
      <c r="L70" s="19" t="s">
        <v>136</v>
      </c>
      <c r="M70" s="19" t="s">
        <v>121</v>
      </c>
      <c r="N70" s="22">
        <v>41.08</v>
      </c>
      <c r="O70" s="42">
        <v>5</v>
      </c>
      <c r="P70" s="43" t="s">
        <v>202</v>
      </c>
      <c r="Q70" s="45">
        <v>6700</v>
      </c>
      <c r="R70" s="45">
        <v>1300</v>
      </c>
      <c r="T70" s="36"/>
      <c r="AD70">
        <v>-7</v>
      </c>
      <c r="AE70" s="33">
        <v>2</v>
      </c>
      <c r="AO70" s="69"/>
      <c r="AP70" s="70"/>
      <c r="AQ70" s="71"/>
    </row>
    <row r="71" spans="1:43" ht="18.75" x14ac:dyDescent="0.25">
      <c r="A71" s="19">
        <v>22</v>
      </c>
      <c r="B71" s="19">
        <v>9666</v>
      </c>
      <c r="C71" s="19">
        <v>797</v>
      </c>
      <c r="D71" s="19" t="s">
        <v>132</v>
      </c>
      <c r="E71" s="22">
        <v>4</v>
      </c>
      <c r="F71" s="28">
        <v>6.58</v>
      </c>
      <c r="G71" s="20">
        <v>0.04</v>
      </c>
      <c r="H71" s="21">
        <v>45387.868472222224</v>
      </c>
      <c r="I71" s="19" t="s">
        <v>151</v>
      </c>
      <c r="J71" s="19" t="s">
        <v>156</v>
      </c>
      <c r="K71" s="19">
        <v>54</v>
      </c>
      <c r="L71" s="19" t="s">
        <v>120</v>
      </c>
      <c r="M71" s="19" t="s">
        <v>121</v>
      </c>
      <c r="N71" s="22">
        <v>88.02</v>
      </c>
      <c r="O71" s="42">
        <v>5</v>
      </c>
      <c r="P71" s="43" t="s">
        <v>203</v>
      </c>
      <c r="Q71" s="45">
        <v>2500</v>
      </c>
      <c r="R71" s="45">
        <v>150</v>
      </c>
      <c r="T71" s="36"/>
      <c r="AO71" s="69"/>
      <c r="AP71" s="70"/>
      <c r="AQ71" s="71"/>
    </row>
    <row r="72" spans="1:43" ht="18.75" x14ac:dyDescent="0.25">
      <c r="A72" s="19">
        <v>23</v>
      </c>
      <c r="B72" s="19">
        <v>3558</v>
      </c>
      <c r="C72" s="19">
        <v>577</v>
      </c>
      <c r="D72" s="19" t="s">
        <v>127</v>
      </c>
      <c r="E72" s="22">
        <v>3</v>
      </c>
      <c r="F72" s="28">
        <v>888.2</v>
      </c>
      <c r="G72" s="20">
        <v>0.04</v>
      </c>
      <c r="H72" s="21">
        <v>45247.229328703703</v>
      </c>
      <c r="I72" s="19" t="s">
        <v>118</v>
      </c>
      <c r="J72" s="19" t="s">
        <v>157</v>
      </c>
      <c r="K72" s="19">
        <v>29</v>
      </c>
      <c r="L72" s="19" t="s">
        <v>125</v>
      </c>
      <c r="M72" s="19" t="s">
        <v>121</v>
      </c>
      <c r="N72" s="22">
        <v>67.510000000000005</v>
      </c>
      <c r="O72" s="42">
        <v>5</v>
      </c>
      <c r="P72" s="43" t="s">
        <v>204</v>
      </c>
      <c r="Q72" s="45">
        <v>5800</v>
      </c>
      <c r="R72" s="45">
        <v>900</v>
      </c>
      <c r="T72" s="36"/>
      <c r="AO72" s="69"/>
      <c r="AP72" s="70"/>
      <c r="AQ72" s="71"/>
    </row>
    <row r="73" spans="1:43" ht="18.75" x14ac:dyDescent="0.25">
      <c r="A73" s="19">
        <v>24</v>
      </c>
      <c r="B73" s="19">
        <v>8849</v>
      </c>
      <c r="C73" s="19">
        <v>385</v>
      </c>
      <c r="D73" s="19" t="s">
        <v>127</v>
      </c>
      <c r="E73" s="22">
        <v>4</v>
      </c>
      <c r="F73" s="28">
        <v>109.35</v>
      </c>
      <c r="G73" s="20">
        <v>0.15</v>
      </c>
      <c r="H73" s="21">
        <v>45509.588854166665</v>
      </c>
      <c r="I73" s="19" t="s">
        <v>123</v>
      </c>
      <c r="J73" s="19" t="s">
        <v>158</v>
      </c>
      <c r="K73" s="19">
        <v>45</v>
      </c>
      <c r="L73" s="19" t="s">
        <v>120</v>
      </c>
      <c r="M73" s="19" t="s">
        <v>126</v>
      </c>
      <c r="N73" s="22">
        <v>18.760000000000002</v>
      </c>
      <c r="O73" s="42">
        <v>5</v>
      </c>
      <c r="P73" s="43" t="s">
        <v>205</v>
      </c>
      <c r="Q73" s="45">
        <v>3900</v>
      </c>
      <c r="R73" s="45">
        <v>0</v>
      </c>
      <c r="T73" s="36"/>
      <c r="AO73" s="69"/>
      <c r="AP73" s="70"/>
      <c r="AQ73" s="71"/>
    </row>
    <row r="74" spans="1:43" ht="18.75" x14ac:dyDescent="0.25">
      <c r="A74" s="19">
        <v>25</v>
      </c>
      <c r="B74" s="19">
        <v>3047</v>
      </c>
      <c r="C74" s="19">
        <v>419</v>
      </c>
      <c r="D74" s="19" t="s">
        <v>132</v>
      </c>
      <c r="E74" s="22">
        <v>4</v>
      </c>
      <c r="F74" s="28">
        <v>144.08000000000001</v>
      </c>
      <c r="G74" s="20">
        <v>0.28000000000000003</v>
      </c>
      <c r="H74" s="21">
        <v>45346.05196759259</v>
      </c>
      <c r="I74" s="19" t="s">
        <v>118</v>
      </c>
      <c r="J74" s="19" t="s">
        <v>159</v>
      </c>
      <c r="K74" s="19">
        <v>38</v>
      </c>
      <c r="L74" s="19" t="s">
        <v>136</v>
      </c>
      <c r="M74" s="19" t="s">
        <v>126</v>
      </c>
      <c r="N74" s="22">
        <v>33.4</v>
      </c>
      <c r="O74" s="42">
        <v>5</v>
      </c>
      <c r="P74" s="43" t="s">
        <v>202</v>
      </c>
      <c r="Q74" s="45">
        <v>8400</v>
      </c>
      <c r="R74" s="45">
        <v>2500</v>
      </c>
      <c r="AO74" s="69"/>
      <c r="AP74" s="70"/>
      <c r="AQ74" s="71"/>
    </row>
    <row r="75" spans="1:43" ht="18.75" x14ac:dyDescent="0.25">
      <c r="A75" s="19">
        <v>26</v>
      </c>
      <c r="B75" s="19">
        <v>3747</v>
      </c>
      <c r="C75" s="19">
        <v>733</v>
      </c>
      <c r="D75" s="19" t="s">
        <v>139</v>
      </c>
      <c r="E75" s="22">
        <v>4</v>
      </c>
      <c r="F75" s="28">
        <v>576.59</v>
      </c>
      <c r="G75" s="20">
        <v>0.2</v>
      </c>
      <c r="H75" s="21">
        <v>45355.388136574074</v>
      </c>
      <c r="I75" s="19" t="s">
        <v>129</v>
      </c>
      <c r="J75" s="19" t="s">
        <v>160</v>
      </c>
      <c r="K75" s="19">
        <v>52</v>
      </c>
      <c r="L75" s="19" t="s">
        <v>136</v>
      </c>
      <c r="M75" s="19" t="s">
        <v>131</v>
      </c>
      <c r="N75" s="22">
        <v>21.91</v>
      </c>
      <c r="O75" s="42">
        <v>5</v>
      </c>
      <c r="P75" s="43" t="s">
        <v>203</v>
      </c>
      <c r="Q75" s="45">
        <v>4700</v>
      </c>
      <c r="R75" s="45">
        <v>700</v>
      </c>
      <c r="W75" s="36"/>
      <c r="AO75" s="69"/>
      <c r="AP75" s="70"/>
      <c r="AQ75" s="71"/>
    </row>
    <row r="76" spans="1:43" ht="18.75" x14ac:dyDescent="0.25">
      <c r="A76" s="19">
        <v>27</v>
      </c>
      <c r="B76" s="19">
        <v>1189</v>
      </c>
      <c r="C76" s="19">
        <v>278</v>
      </c>
      <c r="D76" s="19" t="s">
        <v>132</v>
      </c>
      <c r="E76" s="22">
        <v>3</v>
      </c>
      <c r="F76" s="28">
        <v>954.41</v>
      </c>
      <c r="G76" s="20">
        <v>0.11</v>
      </c>
      <c r="H76" s="21">
        <v>45225.300104166665</v>
      </c>
      <c r="I76" s="19" t="s">
        <v>151</v>
      </c>
      <c r="J76" s="19" t="s">
        <v>161</v>
      </c>
      <c r="K76" s="19">
        <v>66</v>
      </c>
      <c r="L76" s="19" t="s">
        <v>136</v>
      </c>
      <c r="M76" s="19" t="s">
        <v>131</v>
      </c>
      <c r="N76" s="22">
        <v>81.489999999999995</v>
      </c>
      <c r="O76" s="42">
        <v>5</v>
      </c>
      <c r="P76" s="43" t="s">
        <v>204</v>
      </c>
      <c r="Q76" s="45">
        <v>3400</v>
      </c>
      <c r="R76" s="45">
        <v>350</v>
      </c>
      <c r="W76" s="36"/>
      <c r="AI76" s="65" t="s">
        <v>272</v>
      </c>
      <c r="AJ76" s="65"/>
      <c r="AK76" s="65"/>
      <c r="AO76" s="69"/>
      <c r="AP76" s="70"/>
      <c r="AQ76" s="71"/>
    </row>
    <row r="77" spans="1:43" ht="18.75" x14ac:dyDescent="0.25">
      <c r="A77" s="19">
        <v>28</v>
      </c>
      <c r="B77" s="19">
        <v>3734</v>
      </c>
      <c r="C77" s="19">
        <v>231</v>
      </c>
      <c r="D77" s="19" t="s">
        <v>146</v>
      </c>
      <c r="E77" s="22">
        <v>3</v>
      </c>
      <c r="F77" s="28">
        <v>513.82000000000005</v>
      </c>
      <c r="G77" s="20">
        <v>0.05</v>
      </c>
      <c r="H77" s="21">
        <v>45508.527766203704</v>
      </c>
      <c r="I77" s="19" t="s">
        <v>137</v>
      </c>
      <c r="J77" s="19" t="s">
        <v>162</v>
      </c>
      <c r="K77" s="19">
        <v>34</v>
      </c>
      <c r="L77" s="19" t="s">
        <v>136</v>
      </c>
      <c r="M77" s="19" t="s">
        <v>131</v>
      </c>
      <c r="N77" s="22">
        <v>77.27</v>
      </c>
      <c r="O77" s="42">
        <v>5</v>
      </c>
      <c r="P77" s="43" t="s">
        <v>205</v>
      </c>
      <c r="Q77" s="45">
        <v>6500</v>
      </c>
      <c r="R77" s="45">
        <v>1250</v>
      </c>
      <c r="W77" s="36"/>
      <c r="AA77" s="2" t="s">
        <v>271</v>
      </c>
      <c r="AB77" s="59" t="s">
        <v>132</v>
      </c>
      <c r="AC77" s="59" t="s">
        <v>117</v>
      </c>
      <c r="AO77" s="69"/>
      <c r="AP77" s="70"/>
      <c r="AQ77" s="71"/>
    </row>
    <row r="78" spans="1:43" ht="18.75" x14ac:dyDescent="0.25">
      <c r="A78" s="19">
        <v>29</v>
      </c>
      <c r="B78" s="19">
        <v>4005</v>
      </c>
      <c r="C78" s="19">
        <v>699</v>
      </c>
      <c r="D78" s="19" t="s">
        <v>139</v>
      </c>
      <c r="E78" s="22">
        <v>1</v>
      </c>
      <c r="F78" s="28">
        <v>767.89</v>
      </c>
      <c r="G78" s="20">
        <v>0.11</v>
      </c>
      <c r="H78" s="21">
        <v>45418.068981481483</v>
      </c>
      <c r="I78" s="19" t="s">
        <v>137</v>
      </c>
      <c r="J78" s="19" t="s">
        <v>163</v>
      </c>
      <c r="K78" s="19">
        <v>52</v>
      </c>
      <c r="L78" s="19" t="s">
        <v>125</v>
      </c>
      <c r="M78" s="19" t="s">
        <v>126</v>
      </c>
      <c r="N78" s="22">
        <v>26.78</v>
      </c>
      <c r="O78" s="42">
        <v>5</v>
      </c>
      <c r="P78" s="43" t="s">
        <v>202</v>
      </c>
      <c r="Q78" s="45">
        <v>5600</v>
      </c>
      <c r="R78" s="45">
        <v>950</v>
      </c>
      <c r="W78" s="36"/>
      <c r="AA78" s="3" t="s">
        <v>202</v>
      </c>
      <c r="AB78" s="58">
        <v>8000</v>
      </c>
      <c r="AC78" s="58">
        <v>5000</v>
      </c>
      <c r="AI78" s="1" t="s">
        <v>258</v>
      </c>
      <c r="AJ78" s="1" t="s">
        <v>132</v>
      </c>
      <c r="AK78" s="1" t="s">
        <v>117</v>
      </c>
      <c r="AL78" s="1" t="s">
        <v>236</v>
      </c>
      <c r="AO78" s="69"/>
      <c r="AP78" s="70"/>
      <c r="AQ78" s="71"/>
    </row>
    <row r="79" spans="1:43" ht="19.5" thickBot="1" x14ac:dyDescent="0.3">
      <c r="A79" s="19">
        <v>30</v>
      </c>
      <c r="B79" s="19">
        <v>5658</v>
      </c>
      <c r="C79" s="19">
        <v>829</v>
      </c>
      <c r="D79" s="19" t="s">
        <v>122</v>
      </c>
      <c r="E79" s="22">
        <v>4</v>
      </c>
      <c r="F79" s="28">
        <v>653.79</v>
      </c>
      <c r="G79" s="20">
        <v>0.01</v>
      </c>
      <c r="H79" s="21">
        <v>45222.482094907406</v>
      </c>
      <c r="I79" s="19" t="s">
        <v>118</v>
      </c>
      <c r="J79" s="19" t="s">
        <v>164</v>
      </c>
      <c r="K79" s="19">
        <v>68</v>
      </c>
      <c r="L79" s="19" t="s">
        <v>120</v>
      </c>
      <c r="M79" s="19" t="s">
        <v>131</v>
      </c>
      <c r="N79" s="22">
        <v>39.340000000000003</v>
      </c>
      <c r="O79" s="42">
        <v>5</v>
      </c>
      <c r="P79" s="43" t="s">
        <v>203</v>
      </c>
      <c r="Q79" s="45">
        <v>2800</v>
      </c>
      <c r="R79" s="45">
        <v>200</v>
      </c>
      <c r="W79" s="36"/>
      <c r="AA79" s="3" t="s">
        <v>202</v>
      </c>
      <c r="AB79" s="58">
        <v>8500</v>
      </c>
      <c r="AC79" s="58">
        <v>5200</v>
      </c>
      <c r="AI79" s="62" t="s">
        <v>202</v>
      </c>
      <c r="AJ79" s="61"/>
      <c r="AK79" s="61"/>
      <c r="AL79" s="61"/>
      <c r="AO79" s="69"/>
      <c r="AP79" s="70"/>
      <c r="AQ79" s="71"/>
    </row>
    <row r="80" spans="1:43" ht="18.75" x14ac:dyDescent="0.25">
      <c r="A80" s="19">
        <v>31</v>
      </c>
      <c r="B80" s="19">
        <v>2899</v>
      </c>
      <c r="C80" s="19">
        <v>299</v>
      </c>
      <c r="D80" s="19" t="s">
        <v>146</v>
      </c>
      <c r="E80" s="22">
        <v>1</v>
      </c>
      <c r="F80" s="28">
        <v>361.67</v>
      </c>
      <c r="G80" s="20">
        <v>0.06</v>
      </c>
      <c r="H80" s="21">
        <v>45301.112858796296</v>
      </c>
      <c r="I80" s="19" t="s">
        <v>137</v>
      </c>
      <c r="J80" s="19" t="s">
        <v>165</v>
      </c>
      <c r="K80" s="19">
        <v>23</v>
      </c>
      <c r="L80" s="19" t="s">
        <v>125</v>
      </c>
      <c r="M80" s="19" t="s">
        <v>131</v>
      </c>
      <c r="N80" s="22">
        <v>91.11</v>
      </c>
      <c r="O80" s="42">
        <v>5</v>
      </c>
      <c r="P80" s="43" t="s">
        <v>204</v>
      </c>
      <c r="Q80" s="45">
        <v>7700</v>
      </c>
      <c r="R80" s="45">
        <v>1800</v>
      </c>
      <c r="W80" s="36"/>
      <c r="AA80" s="3" t="s">
        <v>202</v>
      </c>
      <c r="AB80" s="58">
        <v>7800</v>
      </c>
      <c r="AC80" s="58">
        <v>4800</v>
      </c>
      <c r="AI80" s="1" t="s">
        <v>219</v>
      </c>
      <c r="AJ80">
        <v>3</v>
      </c>
      <c r="AK80">
        <v>3</v>
      </c>
      <c r="AL80">
        <v>6</v>
      </c>
      <c r="AO80" s="69"/>
      <c r="AP80" s="70"/>
      <c r="AQ80" s="71"/>
    </row>
    <row r="81" spans="1:43" ht="18.75" x14ac:dyDescent="0.25">
      <c r="A81" s="19">
        <v>32</v>
      </c>
      <c r="B81" s="19">
        <v>8734</v>
      </c>
      <c r="C81" s="19">
        <v>706</v>
      </c>
      <c r="D81" s="19" t="s">
        <v>132</v>
      </c>
      <c r="E81" s="22">
        <v>1</v>
      </c>
      <c r="F81" s="28">
        <v>327.64</v>
      </c>
      <c r="G81" s="20">
        <v>0.28000000000000003</v>
      </c>
      <c r="H81" s="21">
        <v>45422.781377314815</v>
      </c>
      <c r="I81" s="19" t="s">
        <v>137</v>
      </c>
      <c r="J81" s="19" t="s">
        <v>166</v>
      </c>
      <c r="K81" s="19">
        <v>44</v>
      </c>
      <c r="L81" s="19" t="s">
        <v>120</v>
      </c>
      <c r="M81" s="19" t="s">
        <v>121</v>
      </c>
      <c r="N81" s="22">
        <v>2.78</v>
      </c>
      <c r="O81" s="42">
        <v>5</v>
      </c>
      <c r="P81" s="43" t="s">
        <v>205</v>
      </c>
      <c r="Q81" s="45">
        <v>4500</v>
      </c>
      <c r="R81" s="45">
        <v>600</v>
      </c>
      <c r="W81" s="36"/>
      <c r="AA81" s="3" t="s">
        <v>203</v>
      </c>
      <c r="AB81" s="58">
        <v>6000</v>
      </c>
      <c r="AC81" s="58">
        <v>4000</v>
      </c>
      <c r="AI81" s="1" t="s">
        <v>218</v>
      </c>
      <c r="AJ81">
        <v>24300</v>
      </c>
      <c r="AK81">
        <v>15000</v>
      </c>
      <c r="AL81">
        <v>39300</v>
      </c>
      <c r="AO81" s="69"/>
      <c r="AP81" s="70"/>
      <c r="AQ81" s="71"/>
    </row>
    <row r="82" spans="1:43" ht="18.75" x14ac:dyDescent="0.25">
      <c r="A82" s="19">
        <v>33</v>
      </c>
      <c r="B82" s="19">
        <v>2267</v>
      </c>
      <c r="C82" s="19">
        <v>693</v>
      </c>
      <c r="D82" s="19" t="s">
        <v>122</v>
      </c>
      <c r="E82" s="22">
        <v>1</v>
      </c>
      <c r="F82" s="28">
        <v>623.45000000000005</v>
      </c>
      <c r="G82" s="20">
        <v>0.13</v>
      </c>
      <c r="H82" s="21">
        <v>45469.132071759261</v>
      </c>
      <c r="I82" s="19" t="s">
        <v>151</v>
      </c>
      <c r="J82" s="19" t="s">
        <v>167</v>
      </c>
      <c r="K82" s="19">
        <v>67</v>
      </c>
      <c r="L82" s="19" t="s">
        <v>125</v>
      </c>
      <c r="M82" s="19" t="s">
        <v>126</v>
      </c>
      <c r="N82" s="22">
        <v>65.39</v>
      </c>
      <c r="O82" s="42">
        <v>5</v>
      </c>
      <c r="P82" s="43" t="s">
        <v>202</v>
      </c>
      <c r="Q82" s="45">
        <v>6100</v>
      </c>
      <c r="R82" s="45">
        <v>1100</v>
      </c>
      <c r="W82" s="36"/>
      <c r="AA82" s="3" t="s">
        <v>203</v>
      </c>
      <c r="AB82" s="58">
        <v>6200</v>
      </c>
      <c r="AC82" s="58">
        <v>4200</v>
      </c>
      <c r="AI82" s="1" t="s">
        <v>260</v>
      </c>
      <c r="AJ82">
        <v>8100</v>
      </c>
      <c r="AK82">
        <v>5000</v>
      </c>
      <c r="AL82">
        <v>6550</v>
      </c>
      <c r="AO82" s="72"/>
      <c r="AP82" s="73"/>
      <c r="AQ82" s="74"/>
    </row>
    <row r="83" spans="1:43" ht="18.75" x14ac:dyDescent="0.25">
      <c r="A83" s="19">
        <v>34</v>
      </c>
      <c r="B83" s="19">
        <v>2528</v>
      </c>
      <c r="C83" s="19">
        <v>544</v>
      </c>
      <c r="D83" s="19" t="s">
        <v>132</v>
      </c>
      <c r="E83" s="22">
        <v>3</v>
      </c>
      <c r="F83" s="28">
        <v>316.88</v>
      </c>
      <c r="G83" s="20">
        <v>0.16</v>
      </c>
      <c r="H83" s="21">
        <v>45185.723854166667</v>
      </c>
      <c r="I83" s="19" t="s">
        <v>129</v>
      </c>
      <c r="J83" s="19" t="s">
        <v>168</v>
      </c>
      <c r="K83" s="19">
        <v>40</v>
      </c>
      <c r="L83" s="19" t="s">
        <v>136</v>
      </c>
      <c r="M83" s="19" t="s">
        <v>126</v>
      </c>
      <c r="N83" s="22">
        <v>22.59</v>
      </c>
      <c r="O83" s="42">
        <v>5</v>
      </c>
      <c r="P83" s="43" t="s">
        <v>203</v>
      </c>
      <c r="Q83" s="45">
        <v>3600</v>
      </c>
      <c r="R83" s="45">
        <v>500</v>
      </c>
      <c r="W83" s="36"/>
      <c r="AA83" s="3" t="s">
        <v>203</v>
      </c>
      <c r="AB83" s="58">
        <v>5900</v>
      </c>
      <c r="AC83" s="58">
        <v>3900</v>
      </c>
      <c r="AI83" s="1" t="s">
        <v>261</v>
      </c>
      <c r="AJ83">
        <v>130000</v>
      </c>
      <c r="AK83">
        <v>40000</v>
      </c>
      <c r="AL83">
        <v>2951000</v>
      </c>
    </row>
    <row r="84" spans="1:43" ht="18.75" x14ac:dyDescent="0.25">
      <c r="A84" s="19">
        <v>35</v>
      </c>
      <c r="B84" s="19">
        <v>4556</v>
      </c>
      <c r="C84" s="19">
        <v>773</v>
      </c>
      <c r="D84" s="19" t="s">
        <v>134</v>
      </c>
      <c r="E84" s="22">
        <v>1</v>
      </c>
      <c r="F84" s="28">
        <v>560.67999999999995</v>
      </c>
      <c r="G84" s="20">
        <v>0.22</v>
      </c>
      <c r="H84" s="21">
        <v>45248.753078703703</v>
      </c>
      <c r="I84" s="19" t="s">
        <v>129</v>
      </c>
      <c r="J84" s="19" t="s">
        <v>169</v>
      </c>
      <c r="K84" s="19">
        <v>32</v>
      </c>
      <c r="L84" s="19" t="s">
        <v>120</v>
      </c>
      <c r="M84" s="19" t="s">
        <v>126</v>
      </c>
      <c r="N84" s="22">
        <v>50.36</v>
      </c>
      <c r="O84" s="42">
        <v>5</v>
      </c>
      <c r="P84" s="43" t="s">
        <v>204</v>
      </c>
      <c r="Q84" s="45">
        <v>4900</v>
      </c>
      <c r="R84" s="45">
        <v>750</v>
      </c>
      <c r="AA84" s="12"/>
      <c r="AB84" s="12"/>
      <c r="AC84" s="60"/>
    </row>
    <row r="85" spans="1:43" ht="19.5" thickBot="1" x14ac:dyDescent="0.3">
      <c r="A85" s="19">
        <v>36</v>
      </c>
      <c r="B85" s="19">
        <v>4890</v>
      </c>
      <c r="C85" s="19">
        <v>414</v>
      </c>
      <c r="D85" s="19" t="s">
        <v>139</v>
      </c>
      <c r="E85" s="22">
        <v>3</v>
      </c>
      <c r="F85" s="28">
        <v>423.86</v>
      </c>
      <c r="G85" s="20">
        <v>0.26</v>
      </c>
      <c r="H85" s="21">
        <v>45305.053182870368</v>
      </c>
      <c r="I85" s="19" t="s">
        <v>118</v>
      </c>
      <c r="J85" s="19" t="s">
        <v>170</v>
      </c>
      <c r="K85" s="19">
        <v>67</v>
      </c>
      <c r="L85" s="19" t="s">
        <v>136</v>
      </c>
      <c r="M85" s="19" t="s">
        <v>131</v>
      </c>
      <c r="N85" s="22">
        <v>16.57</v>
      </c>
      <c r="O85" s="42">
        <v>5</v>
      </c>
      <c r="P85" s="43" t="s">
        <v>205</v>
      </c>
      <c r="Q85" s="45">
        <v>7000</v>
      </c>
      <c r="R85" s="45">
        <v>1500</v>
      </c>
      <c r="AA85" s="12"/>
      <c r="AB85" s="12"/>
      <c r="AC85" s="60"/>
      <c r="AI85" s="62" t="s">
        <v>203</v>
      </c>
      <c r="AJ85" s="61"/>
      <c r="AK85" s="61"/>
      <c r="AL85" s="61"/>
    </row>
    <row r="86" spans="1:43" ht="18.75" x14ac:dyDescent="0.25">
      <c r="A86" s="19">
        <v>37</v>
      </c>
      <c r="B86" s="19">
        <v>9838</v>
      </c>
      <c r="C86" s="19">
        <v>900</v>
      </c>
      <c r="D86" s="19" t="s">
        <v>122</v>
      </c>
      <c r="E86" s="22">
        <v>1</v>
      </c>
      <c r="F86" s="28">
        <v>629.44000000000005</v>
      </c>
      <c r="G86" s="20">
        <v>0.23</v>
      </c>
      <c r="H86" s="21">
        <v>45242.062800925924</v>
      </c>
      <c r="I86" s="19" t="s">
        <v>123</v>
      </c>
      <c r="J86" s="19" t="s">
        <v>171</v>
      </c>
      <c r="K86" s="19">
        <v>42</v>
      </c>
      <c r="L86" s="19" t="s">
        <v>125</v>
      </c>
      <c r="M86" s="19" t="s">
        <v>126</v>
      </c>
      <c r="N86" s="22">
        <v>97.39</v>
      </c>
      <c r="O86" s="42">
        <v>5</v>
      </c>
      <c r="P86" s="43" t="s">
        <v>202</v>
      </c>
      <c r="Q86" s="45">
        <v>3200</v>
      </c>
      <c r="R86" s="45">
        <v>300</v>
      </c>
      <c r="AA86" s="12"/>
      <c r="AB86" s="12"/>
      <c r="AC86" s="60"/>
      <c r="AI86" s="1" t="s">
        <v>219</v>
      </c>
      <c r="AJ86">
        <v>3</v>
      </c>
      <c r="AK86">
        <v>3</v>
      </c>
      <c r="AL86">
        <v>6</v>
      </c>
    </row>
    <row r="87" spans="1:43" ht="18.75" x14ac:dyDescent="0.25">
      <c r="A87" s="19">
        <v>38</v>
      </c>
      <c r="B87" s="19">
        <v>6393</v>
      </c>
      <c r="C87" s="19">
        <v>907</v>
      </c>
      <c r="D87" s="19" t="s">
        <v>134</v>
      </c>
      <c r="E87" s="22">
        <v>1</v>
      </c>
      <c r="F87" s="28">
        <v>330.09</v>
      </c>
      <c r="G87" s="20">
        <v>0.21</v>
      </c>
      <c r="H87" s="21">
        <v>45521.575497685182</v>
      </c>
      <c r="I87" s="19" t="s">
        <v>137</v>
      </c>
      <c r="J87" s="19" t="s">
        <v>172</v>
      </c>
      <c r="K87" s="19">
        <v>37</v>
      </c>
      <c r="L87" s="19" t="s">
        <v>125</v>
      </c>
      <c r="M87" s="19" t="s">
        <v>126</v>
      </c>
      <c r="N87" s="22">
        <v>1.59</v>
      </c>
      <c r="O87" s="42">
        <v>5</v>
      </c>
      <c r="P87" s="43" t="s">
        <v>203</v>
      </c>
      <c r="Q87" s="45">
        <v>5400</v>
      </c>
      <c r="R87" s="45">
        <v>850</v>
      </c>
      <c r="AI87" s="1" t="s">
        <v>218</v>
      </c>
      <c r="AJ87">
        <v>18100</v>
      </c>
      <c r="AK87">
        <v>12100</v>
      </c>
      <c r="AL87">
        <v>30200</v>
      </c>
    </row>
    <row r="88" spans="1:43" ht="18.75" x14ac:dyDescent="0.25">
      <c r="A88" s="19">
        <v>39</v>
      </c>
      <c r="B88" s="19">
        <v>9792</v>
      </c>
      <c r="C88" s="19">
        <v>172</v>
      </c>
      <c r="D88" s="19" t="s">
        <v>132</v>
      </c>
      <c r="E88" s="22">
        <v>4</v>
      </c>
      <c r="F88" s="28">
        <v>862.67</v>
      </c>
      <c r="G88" s="20">
        <v>0.01</v>
      </c>
      <c r="H88" s="21">
        <v>45279.066400462965</v>
      </c>
      <c r="I88" s="19" t="s">
        <v>151</v>
      </c>
      <c r="J88" s="19" t="s">
        <v>173</v>
      </c>
      <c r="K88" s="19">
        <v>55</v>
      </c>
      <c r="L88" s="19" t="s">
        <v>120</v>
      </c>
      <c r="M88" s="19" t="s">
        <v>126</v>
      </c>
      <c r="N88" s="22">
        <v>34.06</v>
      </c>
      <c r="O88" s="42">
        <v>5</v>
      </c>
      <c r="P88" s="43" t="s">
        <v>204</v>
      </c>
      <c r="Q88" s="45">
        <v>2600</v>
      </c>
      <c r="R88" s="45">
        <v>120</v>
      </c>
      <c r="AI88" s="1" t="s">
        <v>260</v>
      </c>
      <c r="AJ88">
        <v>6033.333333333333</v>
      </c>
      <c r="AK88">
        <v>4033.3333333333335</v>
      </c>
      <c r="AL88">
        <v>5033.333333333333</v>
      </c>
    </row>
    <row r="89" spans="1:43" ht="18.75" x14ac:dyDescent="0.25">
      <c r="A89" s="19">
        <v>40</v>
      </c>
      <c r="B89" s="19">
        <v>9433</v>
      </c>
      <c r="C89" s="19">
        <v>951</v>
      </c>
      <c r="D89" s="19" t="s">
        <v>134</v>
      </c>
      <c r="E89" s="22">
        <v>1</v>
      </c>
      <c r="F89" s="28">
        <v>511.03</v>
      </c>
      <c r="G89" s="20">
        <v>0.01</v>
      </c>
      <c r="H89" s="21">
        <v>45250.853206018517</v>
      </c>
      <c r="I89" s="19" t="s">
        <v>137</v>
      </c>
      <c r="J89" s="19" t="s">
        <v>174</v>
      </c>
      <c r="K89" s="19">
        <v>40</v>
      </c>
      <c r="L89" s="19" t="s">
        <v>136</v>
      </c>
      <c r="M89" s="19" t="s">
        <v>131</v>
      </c>
      <c r="N89" s="22">
        <v>85.58</v>
      </c>
      <c r="O89" s="42">
        <v>5</v>
      </c>
      <c r="P89" s="43" t="s">
        <v>205</v>
      </c>
      <c r="Q89" s="45">
        <v>5900</v>
      </c>
      <c r="R89" s="45">
        <v>1000</v>
      </c>
      <c r="AI89" s="1" t="s">
        <v>261</v>
      </c>
      <c r="AJ89">
        <v>23333.333333333336</v>
      </c>
      <c r="AK89">
        <v>23333.333333333332</v>
      </c>
      <c r="AL89">
        <v>1218666.6666666686</v>
      </c>
    </row>
    <row r="90" spans="1:43" ht="18.75" x14ac:dyDescent="0.25">
      <c r="A90" s="19">
        <v>41</v>
      </c>
      <c r="B90" s="19">
        <v>8513</v>
      </c>
      <c r="C90" s="19">
        <v>907</v>
      </c>
      <c r="D90" s="19" t="s">
        <v>127</v>
      </c>
      <c r="E90" s="22">
        <v>2</v>
      </c>
      <c r="F90" s="28">
        <v>42.59</v>
      </c>
      <c r="G90" s="20">
        <v>0.06</v>
      </c>
      <c r="H90" s="21">
        <v>45530.315023148149</v>
      </c>
      <c r="I90" s="19" t="s">
        <v>118</v>
      </c>
      <c r="J90" s="19" t="s">
        <v>175</v>
      </c>
      <c r="K90" s="19">
        <v>68</v>
      </c>
      <c r="L90" s="19" t="s">
        <v>136</v>
      </c>
      <c r="M90" s="19" t="s">
        <v>131</v>
      </c>
      <c r="N90" s="22">
        <v>51.92</v>
      </c>
      <c r="O90" s="42">
        <v>5</v>
      </c>
      <c r="P90" s="43" t="s">
        <v>202</v>
      </c>
      <c r="Q90" s="45">
        <v>7300</v>
      </c>
      <c r="R90" s="45">
        <v>1700</v>
      </c>
    </row>
    <row r="91" spans="1:43" ht="19.5" thickBot="1" x14ac:dyDescent="0.3">
      <c r="A91" s="19">
        <v>42</v>
      </c>
      <c r="B91" s="19">
        <v>3612</v>
      </c>
      <c r="C91" s="19">
        <v>785</v>
      </c>
      <c r="D91" s="19" t="s">
        <v>146</v>
      </c>
      <c r="E91" s="22">
        <v>3</v>
      </c>
      <c r="F91" s="28">
        <v>143.9</v>
      </c>
      <c r="G91" s="20">
        <v>0.09</v>
      </c>
      <c r="H91" s="21">
        <v>45436.330659722225</v>
      </c>
      <c r="I91" s="19" t="s">
        <v>123</v>
      </c>
      <c r="J91" s="19" t="s">
        <v>176</v>
      </c>
      <c r="K91" s="19">
        <v>41</v>
      </c>
      <c r="L91" s="19" t="s">
        <v>125</v>
      </c>
      <c r="M91" s="19" t="s">
        <v>121</v>
      </c>
      <c r="N91" s="22">
        <v>57.88</v>
      </c>
      <c r="O91" s="42">
        <v>5</v>
      </c>
      <c r="P91" s="43" t="s">
        <v>203</v>
      </c>
      <c r="Q91" s="45">
        <v>4200</v>
      </c>
      <c r="R91" s="45">
        <v>650</v>
      </c>
      <c r="AI91" s="62" t="s">
        <v>236</v>
      </c>
      <c r="AJ91" s="61"/>
      <c r="AK91" s="61"/>
      <c r="AL91" s="61"/>
    </row>
    <row r="92" spans="1:43" ht="18.75" x14ac:dyDescent="0.25">
      <c r="A92" s="19">
        <v>43</v>
      </c>
      <c r="B92" s="19">
        <v>8041</v>
      </c>
      <c r="C92" s="19">
        <v>101</v>
      </c>
      <c r="D92" s="19" t="s">
        <v>117</v>
      </c>
      <c r="E92" s="22">
        <v>3</v>
      </c>
      <c r="F92" s="28">
        <v>202.28</v>
      </c>
      <c r="G92" s="20">
        <v>0.11</v>
      </c>
      <c r="H92" s="21">
        <v>45211.312847222223</v>
      </c>
      <c r="I92" s="19" t="s">
        <v>118</v>
      </c>
      <c r="J92" s="19" t="s">
        <v>177</v>
      </c>
      <c r="K92" s="19">
        <v>57</v>
      </c>
      <c r="L92" s="19" t="s">
        <v>136</v>
      </c>
      <c r="M92" s="19" t="s">
        <v>121</v>
      </c>
      <c r="N92" s="22">
        <v>39.869999999999997</v>
      </c>
      <c r="O92" s="42">
        <v>5</v>
      </c>
      <c r="P92" s="43" t="s">
        <v>204</v>
      </c>
      <c r="Q92" s="45">
        <v>6400</v>
      </c>
      <c r="R92" s="45">
        <v>1200</v>
      </c>
      <c r="AI92" s="1" t="s">
        <v>219</v>
      </c>
      <c r="AJ92">
        <v>6</v>
      </c>
      <c r="AK92">
        <v>6</v>
      </c>
    </row>
    <row r="93" spans="1:43" ht="18.75" x14ac:dyDescent="0.25">
      <c r="A93" s="19">
        <v>44</v>
      </c>
      <c r="B93" s="19">
        <v>7235</v>
      </c>
      <c r="C93" s="19">
        <v>718</v>
      </c>
      <c r="D93" s="19" t="s">
        <v>122</v>
      </c>
      <c r="E93" s="22">
        <v>3</v>
      </c>
      <c r="F93" s="28">
        <v>108.93</v>
      </c>
      <c r="G93" s="20">
        <v>0.12</v>
      </c>
      <c r="H93" s="21">
        <v>45256.828541666669</v>
      </c>
      <c r="I93" s="19" t="s">
        <v>123</v>
      </c>
      <c r="J93" s="19" t="s">
        <v>178</v>
      </c>
      <c r="K93" s="19">
        <v>25</v>
      </c>
      <c r="L93" s="19" t="s">
        <v>125</v>
      </c>
      <c r="M93" s="19" t="s">
        <v>121</v>
      </c>
      <c r="N93" s="22">
        <v>13.93</v>
      </c>
      <c r="O93" s="42">
        <v>5</v>
      </c>
      <c r="P93" s="43" t="s">
        <v>205</v>
      </c>
      <c r="Q93" s="45">
        <v>3100</v>
      </c>
      <c r="R93" s="45">
        <v>250</v>
      </c>
      <c r="AI93" s="1" t="s">
        <v>218</v>
      </c>
      <c r="AJ93">
        <v>42400</v>
      </c>
      <c r="AK93">
        <v>27100</v>
      </c>
    </row>
    <row r="94" spans="1:43" ht="18.75" x14ac:dyDescent="0.25">
      <c r="A94" s="19">
        <v>45</v>
      </c>
      <c r="B94" s="19">
        <v>6486</v>
      </c>
      <c r="C94" s="19">
        <v>778</v>
      </c>
      <c r="D94" s="19" t="s">
        <v>139</v>
      </c>
      <c r="E94" s="22">
        <v>4</v>
      </c>
      <c r="F94" s="28">
        <v>176.51</v>
      </c>
      <c r="G94" s="20">
        <v>0.01</v>
      </c>
      <c r="H94" s="21">
        <v>45499.98945601852</v>
      </c>
      <c r="I94" s="19" t="s">
        <v>123</v>
      </c>
      <c r="J94" s="19" t="s">
        <v>179</v>
      </c>
      <c r="K94" s="19">
        <v>53</v>
      </c>
      <c r="L94" s="19" t="s">
        <v>120</v>
      </c>
      <c r="M94" s="19" t="s">
        <v>121</v>
      </c>
      <c r="N94" s="22">
        <v>46.24</v>
      </c>
      <c r="O94" s="42">
        <v>5</v>
      </c>
      <c r="P94" s="43" t="s">
        <v>202</v>
      </c>
      <c r="Q94" s="45">
        <v>8800</v>
      </c>
      <c r="R94" s="45">
        <v>2800</v>
      </c>
      <c r="AI94" s="1" t="s">
        <v>260</v>
      </c>
      <c r="AJ94">
        <v>7066.666666666667</v>
      </c>
      <c r="AK94">
        <v>4516.666666666667</v>
      </c>
    </row>
    <row r="95" spans="1:43" ht="18.75" x14ac:dyDescent="0.25">
      <c r="A95" s="19">
        <v>46</v>
      </c>
      <c r="B95" s="19">
        <v>8099</v>
      </c>
      <c r="C95" s="19">
        <v>120</v>
      </c>
      <c r="D95" s="19" t="s">
        <v>139</v>
      </c>
      <c r="E95" s="22">
        <v>2</v>
      </c>
      <c r="F95" s="28">
        <v>309.39</v>
      </c>
      <c r="G95" s="20">
        <v>0.05</v>
      </c>
      <c r="H95" s="21">
        <v>45439.078541666669</v>
      </c>
      <c r="I95" s="19" t="s">
        <v>123</v>
      </c>
      <c r="J95" s="19" t="s">
        <v>180</v>
      </c>
      <c r="K95" s="19">
        <v>43</v>
      </c>
      <c r="L95" s="19" t="s">
        <v>125</v>
      </c>
      <c r="M95" s="19" t="s">
        <v>131</v>
      </c>
      <c r="N95" s="22">
        <v>68.94</v>
      </c>
      <c r="O95" s="42">
        <v>5</v>
      </c>
      <c r="P95" s="43" t="s">
        <v>203</v>
      </c>
      <c r="Q95" s="45">
        <v>3800</v>
      </c>
      <c r="R95" s="45">
        <v>550</v>
      </c>
      <c r="AI95" s="1" t="s">
        <v>261</v>
      </c>
      <c r="AJ95">
        <v>1342666.6666666628</v>
      </c>
      <c r="AK95">
        <v>305666.6666666657</v>
      </c>
    </row>
    <row r="96" spans="1:43" ht="18.75" x14ac:dyDescent="0.25">
      <c r="A96" s="19">
        <v>47</v>
      </c>
      <c r="B96" s="19">
        <v>1775</v>
      </c>
      <c r="C96" s="19">
        <v>561</v>
      </c>
      <c r="D96" s="19" t="s">
        <v>139</v>
      </c>
      <c r="E96" s="22">
        <v>1</v>
      </c>
      <c r="F96" s="28">
        <v>947.84</v>
      </c>
      <c r="G96" s="20">
        <v>0.26</v>
      </c>
      <c r="H96" s="21">
        <v>45193.278090277781</v>
      </c>
      <c r="I96" s="19" t="s">
        <v>118</v>
      </c>
      <c r="J96" s="19" t="s">
        <v>181</v>
      </c>
      <c r="K96" s="19">
        <v>32</v>
      </c>
      <c r="L96" s="19" t="s">
        <v>125</v>
      </c>
      <c r="M96" s="19" t="s">
        <v>131</v>
      </c>
      <c r="N96" s="22">
        <v>37.53</v>
      </c>
      <c r="O96" s="42">
        <v>5</v>
      </c>
      <c r="P96" s="43" t="s">
        <v>204</v>
      </c>
      <c r="Q96" s="45">
        <v>5200</v>
      </c>
      <c r="R96" s="45">
        <v>800</v>
      </c>
    </row>
    <row r="97" spans="1:41" ht="18.75" x14ac:dyDescent="0.25">
      <c r="A97" s="19">
        <v>48</v>
      </c>
      <c r="B97" s="19">
        <v>9226</v>
      </c>
      <c r="C97" s="19">
        <v>449</v>
      </c>
      <c r="D97" s="19" t="s">
        <v>127</v>
      </c>
      <c r="E97" s="22">
        <v>2</v>
      </c>
      <c r="F97" s="28">
        <v>984.98</v>
      </c>
      <c r="G97" s="20">
        <v>0.23</v>
      </c>
      <c r="H97" s="21">
        <v>45180.543819444443</v>
      </c>
      <c r="I97" s="19" t="s">
        <v>137</v>
      </c>
      <c r="J97" s="19" t="s">
        <v>182</v>
      </c>
      <c r="K97" s="19">
        <v>58</v>
      </c>
      <c r="L97" s="19" t="s">
        <v>125</v>
      </c>
      <c r="M97" s="19" t="s">
        <v>126</v>
      </c>
      <c r="N97" s="22">
        <v>0</v>
      </c>
      <c r="O97" s="42">
        <v>5</v>
      </c>
      <c r="P97" s="43" t="s">
        <v>205</v>
      </c>
      <c r="Q97" s="45">
        <v>4700</v>
      </c>
      <c r="R97" s="45">
        <v>700</v>
      </c>
      <c r="S97" t="s">
        <v>266</v>
      </c>
    </row>
    <row r="98" spans="1:41" ht="19.5" thickBot="1" x14ac:dyDescent="0.3">
      <c r="A98" s="19">
        <v>49</v>
      </c>
      <c r="B98" s="19">
        <v>4152</v>
      </c>
      <c r="C98" s="19">
        <v>653</v>
      </c>
      <c r="D98" s="19" t="s">
        <v>139</v>
      </c>
      <c r="E98" s="22">
        <v>4</v>
      </c>
      <c r="F98" s="28">
        <v>157.11000000000001</v>
      </c>
      <c r="G98" s="20">
        <v>0.03</v>
      </c>
      <c r="H98" s="21">
        <v>45451.159120370372</v>
      </c>
      <c r="I98" s="19" t="s">
        <v>129</v>
      </c>
      <c r="J98" s="19" t="s">
        <v>183</v>
      </c>
      <c r="K98" s="19">
        <v>64</v>
      </c>
      <c r="L98" s="19" t="s">
        <v>125</v>
      </c>
      <c r="M98" s="19" t="s">
        <v>131</v>
      </c>
      <c r="N98" s="22">
        <v>98.52</v>
      </c>
      <c r="O98" s="42">
        <v>5</v>
      </c>
      <c r="P98" s="43" t="s">
        <v>202</v>
      </c>
      <c r="Q98" s="45">
        <v>6900</v>
      </c>
      <c r="R98" s="45">
        <v>1400</v>
      </c>
      <c r="AI98" s="1" t="s">
        <v>233</v>
      </c>
    </row>
    <row r="99" spans="1:41" x14ac:dyDescent="0.25">
      <c r="S99" s="47" t="s">
        <v>258</v>
      </c>
      <c r="T99" s="47" t="s">
        <v>219</v>
      </c>
      <c r="U99" s="47" t="s">
        <v>218</v>
      </c>
      <c r="V99" s="47" t="s">
        <v>260</v>
      </c>
      <c r="W99" s="47" t="s">
        <v>261</v>
      </c>
      <c r="AI99" s="49" t="s">
        <v>262</v>
      </c>
      <c r="AJ99" s="47" t="s">
        <v>239</v>
      </c>
      <c r="AK99" s="47" t="s">
        <v>238</v>
      </c>
      <c r="AL99" s="47" t="s">
        <v>240</v>
      </c>
      <c r="AM99" s="47" t="s">
        <v>241</v>
      </c>
      <c r="AN99" s="47" t="s">
        <v>245</v>
      </c>
      <c r="AO99" s="47" t="s">
        <v>263</v>
      </c>
    </row>
    <row r="100" spans="1:41" x14ac:dyDescent="0.25">
      <c r="S100">
        <v>5200</v>
      </c>
      <c r="T100">
        <v>3</v>
      </c>
      <c r="U100">
        <v>12300</v>
      </c>
      <c r="V100">
        <v>4100</v>
      </c>
      <c r="W100">
        <v>3090000</v>
      </c>
      <c r="AI100" s="1" t="s">
        <v>273</v>
      </c>
      <c r="AJ100">
        <v>6900833.3333333321</v>
      </c>
      <c r="AK100">
        <v>1</v>
      </c>
      <c r="AL100">
        <v>6900833.3333333321</v>
      </c>
      <c r="AM100">
        <v>127.39999999999996</v>
      </c>
      <c r="AN100">
        <v>3.414085563453589E-6</v>
      </c>
      <c r="AO100">
        <v>5.3176550715787174</v>
      </c>
    </row>
    <row r="101" spans="1:41" x14ac:dyDescent="0.25">
      <c r="S101">
        <v>7500</v>
      </c>
      <c r="T101">
        <v>3</v>
      </c>
      <c r="U101">
        <v>12900</v>
      </c>
      <c r="V101">
        <v>4300</v>
      </c>
      <c r="W101">
        <v>1470000</v>
      </c>
      <c r="AI101" s="1" t="s">
        <v>268</v>
      </c>
      <c r="AJ101">
        <v>19507500</v>
      </c>
      <c r="AK101">
        <v>1</v>
      </c>
      <c r="AL101">
        <v>19507500</v>
      </c>
      <c r="AM101">
        <v>360.13846153846151</v>
      </c>
      <c r="AN101">
        <v>6.15153672100674E-8</v>
      </c>
      <c r="AO101">
        <v>5.3176550715787174</v>
      </c>
    </row>
    <row r="102" spans="1:41" ht="18.75" x14ac:dyDescent="0.25">
      <c r="S102">
        <v>4900</v>
      </c>
      <c r="T102">
        <v>3</v>
      </c>
      <c r="U102">
        <v>12700</v>
      </c>
      <c r="V102">
        <v>4233.333333333333</v>
      </c>
      <c r="W102">
        <v>5503333.3333333321</v>
      </c>
      <c r="AB102" s="44" t="s">
        <v>202</v>
      </c>
      <c r="AC102" s="44" t="s">
        <v>204</v>
      </c>
      <c r="AD102" s="44" t="s">
        <v>203</v>
      </c>
      <c r="AE102" s="44" t="s">
        <v>205</v>
      </c>
      <c r="AI102" s="1" t="s">
        <v>274</v>
      </c>
      <c r="AJ102">
        <v>907500.00000000244</v>
      </c>
      <c r="AK102">
        <v>1</v>
      </c>
      <c r="AL102">
        <v>907500.00000000244</v>
      </c>
      <c r="AM102">
        <v>16.753846153846197</v>
      </c>
      <c r="AN102">
        <v>3.4704670716426411E-3</v>
      </c>
      <c r="AO102">
        <v>5.3176550715787174</v>
      </c>
    </row>
    <row r="103" spans="1:41" x14ac:dyDescent="0.25">
      <c r="S103">
        <v>8100</v>
      </c>
      <c r="T103">
        <v>3</v>
      </c>
      <c r="U103">
        <v>13700</v>
      </c>
      <c r="V103">
        <v>4566.666666666667</v>
      </c>
      <c r="W103">
        <v>2723333.3333333321</v>
      </c>
      <c r="AB103" s="45">
        <v>5200</v>
      </c>
      <c r="AC103" s="45">
        <v>6100</v>
      </c>
      <c r="AD103" s="45">
        <v>3400</v>
      </c>
      <c r="AE103" s="45">
        <v>2800</v>
      </c>
      <c r="AI103" s="1" t="s">
        <v>275</v>
      </c>
      <c r="AJ103">
        <v>433333.33333333337</v>
      </c>
      <c r="AK103">
        <v>8</v>
      </c>
      <c r="AL103">
        <v>54166.666666666672</v>
      </c>
    </row>
    <row r="104" spans="1:41" x14ac:dyDescent="0.25">
      <c r="S104">
        <v>5300</v>
      </c>
      <c r="T104">
        <v>3</v>
      </c>
      <c r="U104">
        <v>14600</v>
      </c>
      <c r="V104">
        <v>4866.666666666667</v>
      </c>
      <c r="W104">
        <v>4443333.3333333358</v>
      </c>
      <c r="AB104" s="45">
        <v>7500</v>
      </c>
      <c r="AC104" s="45">
        <v>3200</v>
      </c>
      <c r="AD104" s="45">
        <v>4100</v>
      </c>
      <c r="AE104" s="45">
        <v>5600</v>
      </c>
      <c r="AI104" s="1"/>
    </row>
    <row r="105" spans="1:41" ht="15.75" thickBot="1" x14ac:dyDescent="0.3">
      <c r="S105">
        <v>6700</v>
      </c>
      <c r="T105">
        <v>3</v>
      </c>
      <c r="U105">
        <v>12200</v>
      </c>
      <c r="V105">
        <v>4066.6666666666665</v>
      </c>
      <c r="W105">
        <v>2743333.3333333321</v>
      </c>
      <c r="AB105" s="45">
        <v>4900</v>
      </c>
      <c r="AC105" s="45">
        <v>6800</v>
      </c>
      <c r="AD105" s="45">
        <v>2200</v>
      </c>
      <c r="AE105" s="45">
        <v>3700</v>
      </c>
      <c r="AI105" s="50" t="s">
        <v>236</v>
      </c>
      <c r="AJ105" s="46">
        <v>27749166.666666668</v>
      </c>
      <c r="AK105" s="46">
        <v>11</v>
      </c>
      <c r="AL105" s="46"/>
      <c r="AM105" s="46"/>
      <c r="AN105" s="46"/>
      <c r="AO105" s="46"/>
    </row>
    <row r="106" spans="1:41" x14ac:dyDescent="0.25">
      <c r="S106">
        <v>8400</v>
      </c>
      <c r="T106">
        <v>3</v>
      </c>
      <c r="U106">
        <v>14600</v>
      </c>
      <c r="V106">
        <v>4866.666666666667</v>
      </c>
      <c r="W106">
        <v>2423333.3333333358</v>
      </c>
      <c r="AB106" s="45">
        <v>8100</v>
      </c>
      <c r="AC106" s="45">
        <v>2900</v>
      </c>
      <c r="AD106" s="45">
        <v>4600</v>
      </c>
      <c r="AE106" s="45">
        <v>6200</v>
      </c>
    </row>
    <row r="107" spans="1:41" x14ac:dyDescent="0.25">
      <c r="S107">
        <v>5600</v>
      </c>
      <c r="T107">
        <v>3</v>
      </c>
      <c r="U107">
        <v>15000</v>
      </c>
      <c r="V107">
        <v>5000</v>
      </c>
      <c r="W107">
        <v>6190000</v>
      </c>
      <c r="AB107" s="45">
        <v>5300</v>
      </c>
      <c r="AC107" s="45">
        <v>7200</v>
      </c>
      <c r="AD107" s="45">
        <v>3100</v>
      </c>
      <c r="AE107" s="45">
        <v>4300</v>
      </c>
    </row>
    <row r="108" spans="1:41" x14ac:dyDescent="0.25">
      <c r="S108">
        <v>6100</v>
      </c>
      <c r="T108">
        <v>3</v>
      </c>
      <c r="U108">
        <v>15500</v>
      </c>
      <c r="V108">
        <v>5166.666666666667</v>
      </c>
      <c r="W108">
        <v>2943333.3333333358</v>
      </c>
      <c r="AB108" s="45">
        <v>6700</v>
      </c>
      <c r="AC108" s="45">
        <v>5800</v>
      </c>
      <c r="AD108" s="45">
        <v>2500</v>
      </c>
      <c r="AE108" s="45">
        <v>3900</v>
      </c>
    </row>
    <row r="109" spans="1:41" x14ac:dyDescent="0.25">
      <c r="S109">
        <v>3200</v>
      </c>
      <c r="T109">
        <v>3</v>
      </c>
      <c r="U109">
        <v>13900</v>
      </c>
      <c r="V109">
        <v>4633.333333333333</v>
      </c>
      <c r="W109">
        <v>3163333.3333333321</v>
      </c>
      <c r="AB109" s="45">
        <v>8400</v>
      </c>
      <c r="AC109" s="45">
        <v>3400</v>
      </c>
      <c r="AD109" s="45">
        <v>4700</v>
      </c>
      <c r="AE109" s="45">
        <v>6500</v>
      </c>
    </row>
    <row r="110" spans="1:41" x14ac:dyDescent="0.25">
      <c r="S110">
        <v>7300</v>
      </c>
      <c r="T110">
        <v>3</v>
      </c>
      <c r="U110">
        <v>13700</v>
      </c>
      <c r="V110">
        <v>4566.666666666667</v>
      </c>
      <c r="W110">
        <v>2823333.3333333321</v>
      </c>
      <c r="AB110" s="45">
        <v>5600</v>
      </c>
      <c r="AC110" s="45">
        <v>7700</v>
      </c>
      <c r="AD110" s="45">
        <v>2800</v>
      </c>
      <c r="AE110" s="45">
        <v>4500</v>
      </c>
    </row>
    <row r="111" spans="1:41" x14ac:dyDescent="0.25">
      <c r="S111">
        <v>8800</v>
      </c>
      <c r="T111">
        <v>3</v>
      </c>
      <c r="U111">
        <v>13700</v>
      </c>
      <c r="V111">
        <v>4566.666666666667</v>
      </c>
      <c r="W111">
        <v>503333.33333333209</v>
      </c>
      <c r="AB111" s="45">
        <v>6100</v>
      </c>
      <c r="AC111" s="45">
        <v>4900</v>
      </c>
      <c r="AD111" s="45">
        <v>3600</v>
      </c>
      <c r="AE111" s="45">
        <v>7000</v>
      </c>
    </row>
    <row r="112" spans="1:41" x14ac:dyDescent="0.25">
      <c r="AB112" s="45">
        <v>3200</v>
      </c>
      <c r="AC112" s="45">
        <v>2600</v>
      </c>
      <c r="AD112" s="45">
        <v>5400</v>
      </c>
      <c r="AE112" s="45">
        <v>5900</v>
      </c>
    </row>
    <row r="113" spans="7:36" x14ac:dyDescent="0.25">
      <c r="S113" t="s">
        <v>204</v>
      </c>
      <c r="T113">
        <v>12</v>
      </c>
      <c r="U113">
        <v>62200</v>
      </c>
      <c r="V113">
        <v>5183.333333333333</v>
      </c>
      <c r="W113">
        <v>3163333.3333333354</v>
      </c>
      <c r="AB113" s="45">
        <v>7300</v>
      </c>
      <c r="AC113" s="45">
        <v>6400</v>
      </c>
      <c r="AD113" s="45">
        <v>4200</v>
      </c>
      <c r="AE113" s="45">
        <v>3100</v>
      </c>
    </row>
    <row r="114" spans="7:36" x14ac:dyDescent="0.25">
      <c r="S114" t="s">
        <v>203</v>
      </c>
      <c r="T114">
        <v>12</v>
      </c>
      <c r="U114">
        <v>44400</v>
      </c>
      <c r="V114">
        <v>3700</v>
      </c>
      <c r="W114">
        <v>916363.63636363635</v>
      </c>
      <c r="AB114" s="45">
        <v>8800</v>
      </c>
      <c r="AC114" s="45">
        <v>5200</v>
      </c>
      <c r="AD114" s="45">
        <v>3800</v>
      </c>
      <c r="AE114" s="45">
        <v>4700</v>
      </c>
    </row>
    <row r="115" spans="7:36" ht="15.75" thickBot="1" x14ac:dyDescent="0.3">
      <c r="S115" s="46" t="s">
        <v>205</v>
      </c>
      <c r="T115" s="46">
        <v>12</v>
      </c>
      <c r="U115" s="46">
        <v>58200</v>
      </c>
      <c r="V115" s="46">
        <v>4850</v>
      </c>
      <c r="W115" s="46">
        <v>1888181.8181818181</v>
      </c>
    </row>
    <row r="117" spans="7:36" x14ac:dyDescent="0.25">
      <c r="M117" s="1" t="s">
        <v>257</v>
      </c>
      <c r="N117"/>
    </row>
    <row r="118" spans="7:36" ht="15.75" thickBot="1" x14ac:dyDescent="0.3">
      <c r="N118"/>
      <c r="S118" t="s">
        <v>233</v>
      </c>
      <c r="AB118" s="43" t="s">
        <v>202</v>
      </c>
    </row>
    <row r="119" spans="7:36" ht="15.75" thickBot="1" x14ac:dyDescent="0.3">
      <c r="M119" s="1" t="s">
        <v>258</v>
      </c>
      <c r="N119"/>
      <c r="S119" s="47" t="s">
        <v>262</v>
      </c>
      <c r="T119" s="47" t="s">
        <v>239</v>
      </c>
      <c r="U119" s="47" t="s">
        <v>238</v>
      </c>
      <c r="V119" s="47" t="s">
        <v>240</v>
      </c>
      <c r="W119" s="47" t="s">
        <v>241</v>
      </c>
      <c r="X119" s="47" t="s">
        <v>245</v>
      </c>
      <c r="Y119" s="47" t="s">
        <v>263</v>
      </c>
    </row>
    <row r="120" spans="7:36" x14ac:dyDescent="0.25">
      <c r="M120" s="49" t="s">
        <v>259</v>
      </c>
      <c r="N120" s="49" t="s">
        <v>219</v>
      </c>
      <c r="O120" s="49" t="s">
        <v>218</v>
      </c>
      <c r="P120" s="49" t="s">
        <v>260</v>
      </c>
      <c r="Q120" s="49" t="s">
        <v>261</v>
      </c>
      <c r="S120" t="s">
        <v>267</v>
      </c>
      <c r="T120">
        <v>4142222.222222209</v>
      </c>
      <c r="U120">
        <v>11</v>
      </c>
      <c r="V120">
        <v>376565.65656565537</v>
      </c>
      <c r="W120">
        <v>0.13469667955341935</v>
      </c>
      <c r="X120">
        <v>0.99927630697498748</v>
      </c>
      <c r="Y120">
        <v>2.2585183566229916</v>
      </c>
    </row>
    <row r="121" spans="7:36" ht="30" x14ac:dyDescent="0.25">
      <c r="G121" s="2" t="s">
        <v>270</v>
      </c>
      <c r="H121" s="2" t="s">
        <v>132</v>
      </c>
      <c r="I121" s="2" t="s">
        <v>117</v>
      </c>
      <c r="J121" s="2" t="s">
        <v>134</v>
      </c>
      <c r="M121" s="1" t="s">
        <v>202</v>
      </c>
      <c r="N121">
        <v>12</v>
      </c>
      <c r="O121">
        <v>77100</v>
      </c>
      <c r="P121">
        <v>6425</v>
      </c>
      <c r="Q121">
        <v>2783863.6363636362</v>
      </c>
      <c r="S121" t="s">
        <v>268</v>
      </c>
      <c r="T121">
        <v>14535555.555555545</v>
      </c>
      <c r="U121">
        <v>2</v>
      </c>
      <c r="V121">
        <v>7267777.7777777724</v>
      </c>
      <c r="W121">
        <v>2.5996675940311427</v>
      </c>
      <c r="X121">
        <v>9.6941181729025272E-2</v>
      </c>
      <c r="Y121">
        <v>3.4433567793667246</v>
      </c>
    </row>
    <row r="122" spans="7:36" x14ac:dyDescent="0.25">
      <c r="G122" s="3" t="s">
        <v>202</v>
      </c>
      <c r="H122" s="3">
        <v>8000</v>
      </c>
      <c r="I122" s="3">
        <v>5000</v>
      </c>
      <c r="J122" s="3">
        <v>3000</v>
      </c>
      <c r="M122" s="1" t="s">
        <v>204</v>
      </c>
      <c r="N122">
        <v>12</v>
      </c>
      <c r="O122">
        <v>62200</v>
      </c>
      <c r="P122">
        <v>5183.333333333333</v>
      </c>
      <c r="Q122">
        <v>3163333.3333333354</v>
      </c>
      <c r="S122" t="s">
        <v>269</v>
      </c>
      <c r="T122">
        <v>61504444.444444455</v>
      </c>
      <c r="U122">
        <v>22</v>
      </c>
      <c r="V122">
        <v>2795656.5656565661</v>
      </c>
    </row>
    <row r="123" spans="7:36" x14ac:dyDescent="0.25">
      <c r="G123" s="3" t="s">
        <v>203</v>
      </c>
      <c r="H123" s="3">
        <v>6000</v>
      </c>
      <c r="I123" s="3">
        <v>4000</v>
      </c>
      <c r="J123" s="3">
        <v>2500</v>
      </c>
      <c r="M123" s="1" t="s">
        <v>203</v>
      </c>
      <c r="N123">
        <v>12</v>
      </c>
      <c r="O123">
        <v>44400</v>
      </c>
      <c r="P123">
        <v>3700</v>
      </c>
      <c r="Q123">
        <v>916363.63636363635</v>
      </c>
      <c r="AF123" t="s">
        <v>266</v>
      </c>
    </row>
    <row r="124" spans="7:36" ht="15.75" thickBot="1" x14ac:dyDescent="0.3">
      <c r="G124" s="3" t="s">
        <v>204</v>
      </c>
      <c r="H124" s="3">
        <v>7500</v>
      </c>
      <c r="I124" s="3">
        <v>4500</v>
      </c>
      <c r="J124" s="3">
        <v>2800</v>
      </c>
      <c r="M124" s="50" t="s">
        <v>205</v>
      </c>
      <c r="N124" s="46">
        <v>12</v>
      </c>
      <c r="O124" s="46">
        <v>58200</v>
      </c>
      <c r="P124" s="46">
        <v>4850</v>
      </c>
      <c r="Q124" s="46">
        <v>1888181.8181818181</v>
      </c>
      <c r="S124" s="46" t="s">
        <v>236</v>
      </c>
      <c r="T124" s="46">
        <v>80182222.222222209</v>
      </c>
      <c r="U124" s="46">
        <v>35</v>
      </c>
      <c r="V124" s="46"/>
      <c r="W124" s="46"/>
      <c r="X124" s="46"/>
      <c r="Y124" s="46"/>
    </row>
    <row r="125" spans="7:36" x14ac:dyDescent="0.25">
      <c r="G125" s="3" t="s">
        <v>205</v>
      </c>
      <c r="H125" s="3">
        <v>7000</v>
      </c>
      <c r="I125" s="3">
        <v>4200</v>
      </c>
      <c r="J125" s="3">
        <v>2700</v>
      </c>
      <c r="N125"/>
      <c r="AF125" s="47" t="s">
        <v>258</v>
      </c>
      <c r="AG125" s="47" t="s">
        <v>219</v>
      </c>
      <c r="AH125" s="47" t="s">
        <v>218</v>
      </c>
      <c r="AI125" s="47" t="s">
        <v>260</v>
      </c>
      <c r="AJ125" s="47" t="s">
        <v>261</v>
      </c>
    </row>
    <row r="126" spans="7:36" x14ac:dyDescent="0.25">
      <c r="N126"/>
      <c r="AF126" t="s">
        <v>202</v>
      </c>
      <c r="AG126">
        <v>3</v>
      </c>
      <c r="AH126">
        <v>16000</v>
      </c>
      <c r="AI126">
        <v>5333.333333333333</v>
      </c>
      <c r="AJ126">
        <v>6333333.3333333358</v>
      </c>
    </row>
    <row r="127" spans="7:36" ht="15.75" thickBot="1" x14ac:dyDescent="0.3">
      <c r="M127" s="1" t="s">
        <v>233</v>
      </c>
      <c r="N127"/>
      <c r="AF127" t="s">
        <v>203</v>
      </c>
      <c r="AG127">
        <v>3</v>
      </c>
      <c r="AH127">
        <v>12500</v>
      </c>
      <c r="AI127">
        <v>4166.666666666667</v>
      </c>
      <c r="AJ127">
        <v>3083333.3333333321</v>
      </c>
    </row>
    <row r="128" spans="7:36" x14ac:dyDescent="0.25">
      <c r="M128" s="49" t="s">
        <v>262</v>
      </c>
      <c r="N128" s="49" t="s">
        <v>239</v>
      </c>
      <c r="O128" s="49" t="s">
        <v>238</v>
      </c>
      <c r="P128" s="49" t="s">
        <v>240</v>
      </c>
      <c r="Q128" s="49" t="s">
        <v>241</v>
      </c>
      <c r="R128" s="49" t="s">
        <v>245</v>
      </c>
      <c r="S128" s="49" t="s">
        <v>263</v>
      </c>
      <c r="AF128" t="s">
        <v>204</v>
      </c>
      <c r="AG128">
        <v>3</v>
      </c>
      <c r="AH128">
        <v>14800</v>
      </c>
      <c r="AI128">
        <v>4933.333333333333</v>
      </c>
      <c r="AJ128">
        <v>5663333.3333333358</v>
      </c>
    </row>
    <row r="129" spans="13:38" x14ac:dyDescent="0.25">
      <c r="M129" s="1" t="s">
        <v>264</v>
      </c>
      <c r="N129">
        <v>45245625.00000003</v>
      </c>
      <c r="O129">
        <v>3</v>
      </c>
      <c r="P129">
        <v>15081875.000000009</v>
      </c>
      <c r="Q129">
        <v>6.893198756957494</v>
      </c>
      <c r="R129">
        <v>6.626757881499516E-4</v>
      </c>
      <c r="S129">
        <v>2.8164658165656813</v>
      </c>
      <c r="AF129" t="s">
        <v>205</v>
      </c>
      <c r="AG129">
        <v>3</v>
      </c>
      <c r="AH129">
        <v>13900</v>
      </c>
      <c r="AI129">
        <v>4633.333333333333</v>
      </c>
      <c r="AJ129">
        <v>4763333.3333333321</v>
      </c>
    </row>
    <row r="130" spans="13:38" x14ac:dyDescent="0.25">
      <c r="M130" s="1" t="s">
        <v>265</v>
      </c>
      <c r="N130">
        <v>96269166.666666657</v>
      </c>
      <c r="O130">
        <v>44</v>
      </c>
      <c r="P130">
        <v>2187935.606060606</v>
      </c>
    </row>
    <row r="131" spans="13:38" x14ac:dyDescent="0.25">
      <c r="M131" s="1"/>
      <c r="N131"/>
      <c r="AF131" t="s">
        <v>132</v>
      </c>
      <c r="AG131">
        <v>4</v>
      </c>
      <c r="AH131">
        <v>28500</v>
      </c>
      <c r="AI131">
        <v>7125</v>
      </c>
      <c r="AJ131">
        <v>729166.66666666663</v>
      </c>
    </row>
    <row r="132" spans="13:38" ht="15.75" thickBot="1" x14ac:dyDescent="0.3">
      <c r="M132" s="50" t="s">
        <v>236</v>
      </c>
      <c r="N132" s="46">
        <v>141514791.66666669</v>
      </c>
      <c r="O132" s="46">
        <v>47</v>
      </c>
      <c r="P132" s="46"/>
      <c r="Q132" s="46"/>
      <c r="R132" s="46"/>
      <c r="S132" s="46"/>
      <c r="AF132" t="s">
        <v>117</v>
      </c>
      <c r="AG132">
        <v>4</v>
      </c>
      <c r="AH132">
        <v>17700</v>
      </c>
      <c r="AI132">
        <v>4425</v>
      </c>
      <c r="AJ132">
        <v>189166.66666666666</v>
      </c>
    </row>
    <row r="133" spans="13:38" ht="15.75" thickBot="1" x14ac:dyDescent="0.3">
      <c r="AF133" s="46" t="s">
        <v>134</v>
      </c>
      <c r="AG133" s="46">
        <v>4</v>
      </c>
      <c r="AH133" s="46">
        <v>11000</v>
      </c>
      <c r="AI133" s="46">
        <v>2750</v>
      </c>
      <c r="AJ133" s="46">
        <v>43333.333333333336</v>
      </c>
    </row>
    <row r="135" spans="13:38" x14ac:dyDescent="0.25">
      <c r="Q135" s="9" t="s">
        <v>188</v>
      </c>
    </row>
    <row r="136" spans="13:38" x14ac:dyDescent="0.25">
      <c r="Q136" s="9">
        <v>46174</v>
      </c>
      <c r="AF136" t="s">
        <v>233</v>
      </c>
    </row>
    <row r="137" spans="13:38" x14ac:dyDescent="0.25">
      <c r="Q137" s="9">
        <v>46175</v>
      </c>
      <c r="AF137" t="s">
        <v>262</v>
      </c>
      <c r="AG137" t="s">
        <v>239</v>
      </c>
      <c r="AH137" t="s">
        <v>238</v>
      </c>
      <c r="AI137" t="s">
        <v>240</v>
      </c>
      <c r="AJ137" t="s">
        <v>241</v>
      </c>
      <c r="AK137" t="s">
        <v>245</v>
      </c>
      <c r="AL137" t="s">
        <v>263</v>
      </c>
    </row>
    <row r="138" spans="13:38" x14ac:dyDescent="0.25">
      <c r="Q138" s="9">
        <v>46176</v>
      </c>
      <c r="AF138" t="s">
        <v>267</v>
      </c>
      <c r="AG138">
        <v>2180000</v>
      </c>
      <c r="AH138">
        <v>3</v>
      </c>
      <c r="AI138">
        <v>726666.66666666663</v>
      </c>
      <c r="AJ138">
        <v>6.1843971631205674</v>
      </c>
      <c r="AK138">
        <v>2.8836161293102448E-2</v>
      </c>
      <c r="AL138">
        <v>4.7570626630894131</v>
      </c>
    </row>
    <row r="139" spans="13:38" x14ac:dyDescent="0.25">
      <c r="Q139" s="9">
        <v>46177</v>
      </c>
      <c r="AF139" t="s">
        <v>268</v>
      </c>
      <c r="AG139">
        <v>38981666.666666664</v>
      </c>
      <c r="AH139">
        <v>2</v>
      </c>
      <c r="AI139">
        <v>19490833.333333332</v>
      </c>
      <c r="AJ139">
        <v>165.87943262411346</v>
      </c>
      <c r="AK139">
        <v>5.6057468361815238E-6</v>
      </c>
      <c r="AL139">
        <v>5.1432528497847176</v>
      </c>
    </row>
    <row r="140" spans="13:38" x14ac:dyDescent="0.25">
      <c r="Q140" s="9">
        <v>46178</v>
      </c>
      <c r="AF140" t="s">
        <v>269</v>
      </c>
      <c r="AG140">
        <v>705000</v>
      </c>
      <c r="AH140">
        <v>6</v>
      </c>
      <c r="AI140">
        <v>117500</v>
      </c>
    </row>
    <row r="141" spans="13:38" x14ac:dyDescent="0.25">
      <c r="Q141" s="9">
        <v>46179</v>
      </c>
    </row>
    <row r="142" spans="13:38" x14ac:dyDescent="0.25">
      <c r="Q142" s="9">
        <v>46180</v>
      </c>
      <c r="AF142" t="s">
        <v>236</v>
      </c>
      <c r="AG142">
        <v>41866666.666666664</v>
      </c>
      <c r="AH142">
        <v>11</v>
      </c>
    </row>
    <row r="143" spans="13:38" x14ac:dyDescent="0.25">
      <c r="Q143" s="9">
        <v>46181</v>
      </c>
    </row>
    <row r="144" spans="13:38" x14ac:dyDescent="0.25">
      <c r="Q144" s="9">
        <v>46182</v>
      </c>
    </row>
    <row r="145" spans="13:27" x14ac:dyDescent="0.25">
      <c r="Q145" s="9">
        <v>46183</v>
      </c>
    </row>
    <row r="146" spans="13:27" x14ac:dyDescent="0.25">
      <c r="Q146" s="9">
        <v>46184</v>
      </c>
    </row>
    <row r="147" spans="13:27" x14ac:dyDescent="0.25">
      <c r="Q147" s="9">
        <v>46185</v>
      </c>
    </row>
    <row r="148" spans="13:27" x14ac:dyDescent="0.25">
      <c r="Q148" s="9">
        <v>46186</v>
      </c>
      <c r="U148" s="23" t="s">
        <v>201</v>
      </c>
      <c r="V148" t="s">
        <v>280</v>
      </c>
    </row>
    <row r="149" spans="13:27" x14ac:dyDescent="0.25">
      <c r="Q149" s="9">
        <v>46187</v>
      </c>
    </row>
    <row r="150" spans="13:27" x14ac:dyDescent="0.25">
      <c r="M150" s="2" t="s">
        <v>276</v>
      </c>
      <c r="N150" s="2" t="s">
        <v>277</v>
      </c>
      <c r="O150" s="2" t="s">
        <v>278</v>
      </c>
      <c r="Q150" s="9">
        <v>46188</v>
      </c>
      <c r="U150" s="23" t="s">
        <v>281</v>
      </c>
      <c r="V150" s="23" t="s">
        <v>279</v>
      </c>
    </row>
    <row r="151" spans="13:27" x14ac:dyDescent="0.25">
      <c r="M151" s="3">
        <v>70</v>
      </c>
      <c r="N151" s="3">
        <v>80</v>
      </c>
      <c r="O151" s="3">
        <v>90</v>
      </c>
      <c r="Q151" s="9">
        <v>46189</v>
      </c>
      <c r="U151" s="23" t="s">
        <v>184</v>
      </c>
      <c r="V151" t="s">
        <v>129</v>
      </c>
      <c r="W151" t="s">
        <v>118</v>
      </c>
      <c r="X151" t="s">
        <v>137</v>
      </c>
      <c r="Y151" t="s">
        <v>123</v>
      </c>
      <c r="Z151" t="s">
        <v>151</v>
      </c>
      <c r="AA151" t="s">
        <v>186</v>
      </c>
    </row>
    <row r="152" spans="13:27" x14ac:dyDescent="0.25">
      <c r="M152" s="3">
        <v>75</v>
      </c>
      <c r="N152" s="3">
        <v>85</v>
      </c>
      <c r="O152" s="3">
        <v>95</v>
      </c>
      <c r="Q152" s="9">
        <v>46190</v>
      </c>
      <c r="U152" s="24" t="s">
        <v>134</v>
      </c>
      <c r="V152" s="6">
        <v>9000</v>
      </c>
      <c r="W152" s="6">
        <v>12100</v>
      </c>
      <c r="X152" s="6">
        <v>11300</v>
      </c>
      <c r="Y152" s="6"/>
      <c r="Z152" s="6"/>
      <c r="AA152" s="6">
        <v>32400</v>
      </c>
    </row>
    <row r="153" spans="13:27" x14ac:dyDescent="0.25">
      <c r="M153" s="3">
        <v>80</v>
      </c>
      <c r="N153" s="3">
        <v>90</v>
      </c>
      <c r="O153" s="3">
        <v>100</v>
      </c>
      <c r="Q153" s="9">
        <v>46191</v>
      </c>
      <c r="U153" s="24" t="s">
        <v>117</v>
      </c>
      <c r="V153" s="6"/>
      <c r="W153" s="6">
        <v>18400</v>
      </c>
      <c r="X153" s="6"/>
      <c r="Y153" s="6"/>
      <c r="Z153" s="6">
        <v>3100</v>
      </c>
      <c r="AA153" s="6">
        <v>21500</v>
      </c>
    </row>
    <row r="154" spans="13:27" x14ac:dyDescent="0.25">
      <c r="Q154" s="9">
        <v>46192</v>
      </c>
      <c r="U154" s="24" t="s">
        <v>132</v>
      </c>
      <c r="V154" s="6">
        <v>3600</v>
      </c>
      <c r="W154" s="6">
        <v>8400</v>
      </c>
      <c r="X154" s="6">
        <v>12600</v>
      </c>
      <c r="Y154" s="6">
        <v>11800</v>
      </c>
      <c r="Z154" s="6">
        <v>8500</v>
      </c>
      <c r="AA154" s="6">
        <v>44900</v>
      </c>
    </row>
    <row r="155" spans="13:27" x14ac:dyDescent="0.25">
      <c r="Q155" s="9">
        <v>46193</v>
      </c>
      <c r="U155" s="24" t="s">
        <v>146</v>
      </c>
      <c r="V155" s="6"/>
      <c r="W155" s="6"/>
      <c r="X155" s="6">
        <v>14200</v>
      </c>
      <c r="Y155" s="6">
        <v>8800</v>
      </c>
      <c r="Z155" s="6"/>
      <c r="AA155" s="6">
        <v>23000</v>
      </c>
    </row>
    <row r="156" spans="13:27" x14ac:dyDescent="0.25">
      <c r="U156" s="24" t="s">
        <v>139</v>
      </c>
      <c r="V156" s="6">
        <v>15300</v>
      </c>
      <c r="W156" s="6">
        <v>17800</v>
      </c>
      <c r="X156" s="6">
        <v>5600</v>
      </c>
      <c r="Y156" s="6">
        <v>12600</v>
      </c>
      <c r="Z156" s="6"/>
      <c r="AA156" s="6">
        <v>51300</v>
      </c>
    </row>
    <row r="157" spans="13:27" x14ac:dyDescent="0.25">
      <c r="U157" s="24" t="s">
        <v>127</v>
      </c>
      <c r="V157" s="6">
        <v>6200</v>
      </c>
      <c r="W157" s="6">
        <v>18200</v>
      </c>
      <c r="X157" s="6">
        <v>11400</v>
      </c>
      <c r="Y157" s="6">
        <v>10000</v>
      </c>
      <c r="Z157" s="6"/>
      <c r="AA157" s="6">
        <v>45800</v>
      </c>
    </row>
    <row r="158" spans="13:27" x14ac:dyDescent="0.25">
      <c r="U158" s="24" t="s">
        <v>186</v>
      </c>
      <c r="V158" s="6">
        <v>34100</v>
      </c>
      <c r="W158" s="6">
        <v>74900</v>
      </c>
      <c r="X158" s="6">
        <v>55100</v>
      </c>
      <c r="Y158" s="6">
        <v>43200</v>
      </c>
      <c r="Z158" s="6">
        <v>11600</v>
      </c>
      <c r="AA158" s="6">
        <v>218900</v>
      </c>
    </row>
    <row r="161" spans="11:17" x14ac:dyDescent="0.25">
      <c r="K161" t="s">
        <v>257</v>
      </c>
      <c r="N161"/>
    </row>
    <row r="162" spans="11:17" x14ac:dyDescent="0.25">
      <c r="N162"/>
    </row>
    <row r="163" spans="11:17" ht="15.75" thickBot="1" x14ac:dyDescent="0.3">
      <c r="K163" t="s">
        <v>258</v>
      </c>
      <c r="N163"/>
    </row>
    <row r="164" spans="11:17" x14ac:dyDescent="0.25">
      <c r="K164" s="47" t="s">
        <v>259</v>
      </c>
      <c r="L164" s="47" t="s">
        <v>219</v>
      </c>
      <c r="M164" s="47" t="s">
        <v>218</v>
      </c>
      <c r="N164" s="47" t="s">
        <v>260</v>
      </c>
      <c r="O164" s="47" t="s">
        <v>261</v>
      </c>
    </row>
    <row r="165" spans="11:17" x14ac:dyDescent="0.25">
      <c r="K165" t="s">
        <v>276</v>
      </c>
      <c r="L165">
        <v>3</v>
      </c>
      <c r="M165">
        <v>225</v>
      </c>
      <c r="N165">
        <v>75</v>
      </c>
      <c r="O165">
        <v>25</v>
      </c>
    </row>
    <row r="166" spans="11:17" x14ac:dyDescent="0.25">
      <c r="K166" t="s">
        <v>277</v>
      </c>
      <c r="L166">
        <v>3</v>
      </c>
      <c r="M166">
        <v>255</v>
      </c>
      <c r="N166">
        <v>85</v>
      </c>
      <c r="O166">
        <v>25</v>
      </c>
    </row>
    <row r="167" spans="11:17" ht="15.75" thickBot="1" x14ac:dyDescent="0.3">
      <c r="K167" s="46" t="s">
        <v>278</v>
      </c>
      <c r="L167" s="46">
        <v>3</v>
      </c>
      <c r="M167" s="46">
        <v>285</v>
      </c>
      <c r="N167" s="46">
        <v>95</v>
      </c>
      <c r="O167" s="46">
        <v>25</v>
      </c>
    </row>
    <row r="168" spans="11:17" x14ac:dyDescent="0.25">
      <c r="N168"/>
    </row>
    <row r="169" spans="11:17" x14ac:dyDescent="0.25">
      <c r="N169"/>
    </row>
    <row r="170" spans="11:17" ht="15.75" thickBot="1" x14ac:dyDescent="0.3">
      <c r="K170" t="s">
        <v>233</v>
      </c>
      <c r="N170"/>
    </row>
    <row r="171" spans="11:17" x14ac:dyDescent="0.25">
      <c r="K171" s="47" t="s">
        <v>262</v>
      </c>
      <c r="L171" s="47" t="s">
        <v>239</v>
      </c>
      <c r="M171" s="47" t="s">
        <v>238</v>
      </c>
      <c r="N171" s="47" t="s">
        <v>240</v>
      </c>
      <c r="O171" s="47" t="s">
        <v>241</v>
      </c>
      <c r="P171" s="47" t="s">
        <v>245</v>
      </c>
      <c r="Q171" s="47" t="s">
        <v>263</v>
      </c>
    </row>
    <row r="172" spans="11:17" x14ac:dyDescent="0.25">
      <c r="K172" t="s">
        <v>264</v>
      </c>
      <c r="L172">
        <v>600</v>
      </c>
      <c r="M172">
        <v>2</v>
      </c>
      <c r="N172">
        <v>300</v>
      </c>
      <c r="O172">
        <v>12</v>
      </c>
      <c r="P172">
        <v>8.0000000000000036E-3</v>
      </c>
      <c r="Q172">
        <v>5.1432528497847176</v>
      </c>
    </row>
    <row r="173" spans="11:17" x14ac:dyDescent="0.25">
      <c r="K173" t="s">
        <v>265</v>
      </c>
      <c r="L173">
        <v>150</v>
      </c>
      <c r="M173">
        <v>6</v>
      </c>
      <c r="N173">
        <v>25</v>
      </c>
    </row>
    <row r="174" spans="11:17" x14ac:dyDescent="0.25">
      <c r="N174"/>
    </row>
    <row r="175" spans="11:17" ht="15.75" thickBot="1" x14ac:dyDescent="0.3">
      <c r="K175" s="46" t="s">
        <v>236</v>
      </c>
      <c r="L175" s="46">
        <v>750</v>
      </c>
      <c r="M175" s="46">
        <v>8</v>
      </c>
      <c r="N175" s="46"/>
      <c r="O175" s="46"/>
      <c r="P175" s="46"/>
      <c r="Q175" s="46"/>
    </row>
    <row r="189" spans="22:30" ht="17.25" customHeight="1" x14ac:dyDescent="0.25"/>
    <row r="190" spans="22:30" x14ac:dyDescent="0.25">
      <c r="V190" s="23" t="s">
        <v>282</v>
      </c>
      <c r="W190" s="23" t="s">
        <v>279</v>
      </c>
    </row>
    <row r="191" spans="22:30" x14ac:dyDescent="0.25">
      <c r="V191" s="23" t="s">
        <v>201</v>
      </c>
      <c r="W191" t="s">
        <v>122</v>
      </c>
      <c r="X191" t="s">
        <v>134</v>
      </c>
      <c r="Y191" t="s">
        <v>117</v>
      </c>
      <c r="Z191" t="s">
        <v>132</v>
      </c>
      <c r="AA191" t="s">
        <v>146</v>
      </c>
      <c r="AB191" t="s">
        <v>139</v>
      </c>
      <c r="AC191" t="s">
        <v>127</v>
      </c>
      <c r="AD191" t="s">
        <v>186</v>
      </c>
    </row>
    <row r="192" spans="22:30" x14ac:dyDescent="0.25">
      <c r="V192" s="24" t="s">
        <v>204</v>
      </c>
      <c r="W192" s="6">
        <v>3200</v>
      </c>
      <c r="X192" s="6">
        <v>12100</v>
      </c>
      <c r="Y192" s="6">
        <v>13200</v>
      </c>
      <c r="Z192" s="6">
        <v>6000</v>
      </c>
      <c r="AA192" s="6">
        <v>7700</v>
      </c>
      <c r="AB192" s="6">
        <v>5200</v>
      </c>
      <c r="AC192" s="6">
        <v>14800</v>
      </c>
      <c r="AD192" s="6">
        <v>62200</v>
      </c>
    </row>
    <row r="193" spans="22:30" x14ac:dyDescent="0.25">
      <c r="V193" s="63" t="s">
        <v>120</v>
      </c>
      <c r="W193" s="6"/>
      <c r="X193" s="6">
        <v>12100</v>
      </c>
      <c r="Y193" s="6"/>
      <c r="Z193" s="6">
        <v>2600</v>
      </c>
      <c r="AA193" s="6"/>
      <c r="AB193" s="6"/>
      <c r="AC193" s="6">
        <v>6100</v>
      </c>
      <c r="AD193" s="6">
        <v>20800</v>
      </c>
    </row>
    <row r="194" spans="22:30" x14ac:dyDescent="0.25">
      <c r="V194" s="63" t="s">
        <v>136</v>
      </c>
      <c r="W194" s="6">
        <v>3200</v>
      </c>
      <c r="X194" s="6"/>
      <c r="Y194" s="6">
        <v>6400</v>
      </c>
      <c r="Z194" s="6">
        <v>3400</v>
      </c>
      <c r="AA194" s="6"/>
      <c r="AB194" s="6"/>
      <c r="AC194" s="6"/>
      <c r="AD194" s="6">
        <v>13000</v>
      </c>
    </row>
    <row r="195" spans="22:30" x14ac:dyDescent="0.25">
      <c r="V195" s="63" t="s">
        <v>125</v>
      </c>
      <c r="W195" s="6"/>
      <c r="X195" s="6"/>
      <c r="Y195" s="6">
        <v>6800</v>
      </c>
      <c r="Z195" s="6"/>
      <c r="AA195" s="6">
        <v>7700</v>
      </c>
      <c r="AB195" s="6">
        <v>5200</v>
      </c>
      <c r="AC195" s="6">
        <v>8700</v>
      </c>
      <c r="AD195" s="6">
        <v>28400</v>
      </c>
    </row>
    <row r="196" spans="22:30" x14ac:dyDescent="0.25">
      <c r="V196" s="24" t="s">
        <v>202</v>
      </c>
      <c r="W196" s="6">
        <v>14600</v>
      </c>
      <c r="X196" s="6">
        <v>4900</v>
      </c>
      <c r="Y196" s="6">
        <v>5200</v>
      </c>
      <c r="Z196" s="6">
        <v>24000</v>
      </c>
      <c r="AA196" s="6"/>
      <c r="AB196" s="6">
        <v>21300</v>
      </c>
      <c r="AC196" s="6">
        <v>14000</v>
      </c>
      <c r="AD196" s="6">
        <v>84000</v>
      </c>
    </row>
    <row r="197" spans="22:30" x14ac:dyDescent="0.25">
      <c r="V197" s="63" t="s">
        <v>120</v>
      </c>
      <c r="W197" s="6"/>
      <c r="X197" s="6"/>
      <c r="Y197" s="6">
        <v>5200</v>
      </c>
      <c r="Z197" s="6"/>
      <c r="AA197" s="6"/>
      <c r="AB197" s="6">
        <v>8800</v>
      </c>
      <c r="AC197" s="6"/>
      <c r="AD197" s="6">
        <v>14000</v>
      </c>
    </row>
    <row r="198" spans="22:30" x14ac:dyDescent="0.25">
      <c r="V198" s="63" t="s">
        <v>136</v>
      </c>
      <c r="W198" s="6"/>
      <c r="X198" s="6">
        <v>4900</v>
      </c>
      <c r="Y198" s="6"/>
      <c r="Z198" s="6">
        <v>8400</v>
      </c>
      <c r="AA198" s="6"/>
      <c r="AB198" s="6"/>
      <c r="AC198" s="6">
        <v>14000</v>
      </c>
      <c r="AD198" s="6">
        <v>27300</v>
      </c>
    </row>
    <row r="199" spans="22:30" x14ac:dyDescent="0.25">
      <c r="V199" s="63" t="s">
        <v>125</v>
      </c>
      <c r="W199" s="6">
        <v>14600</v>
      </c>
      <c r="X199" s="6"/>
      <c r="Y199" s="6"/>
      <c r="Z199" s="6">
        <v>15600</v>
      </c>
      <c r="AA199" s="6"/>
      <c r="AB199" s="6">
        <v>12500</v>
      </c>
      <c r="AC199" s="6"/>
      <c r="AD199" s="6">
        <v>42700</v>
      </c>
    </row>
    <row r="200" spans="22:30" x14ac:dyDescent="0.25">
      <c r="V200" s="24" t="s">
        <v>203</v>
      </c>
      <c r="W200" s="6">
        <v>6200</v>
      </c>
      <c r="X200" s="6">
        <v>9500</v>
      </c>
      <c r="Y200" s="6">
        <v>3100</v>
      </c>
      <c r="Z200" s="6">
        <v>6100</v>
      </c>
      <c r="AA200" s="6">
        <v>8800</v>
      </c>
      <c r="AB200" s="6">
        <v>8500</v>
      </c>
      <c r="AC200" s="6">
        <v>2200</v>
      </c>
      <c r="AD200" s="6">
        <v>44400</v>
      </c>
    </row>
    <row r="201" spans="22:30" x14ac:dyDescent="0.25">
      <c r="V201" s="63" t="s">
        <v>120</v>
      </c>
      <c r="W201" s="6">
        <v>2800</v>
      </c>
      <c r="X201" s="6"/>
      <c r="Y201" s="6"/>
      <c r="Z201" s="6">
        <v>2500</v>
      </c>
      <c r="AA201" s="6"/>
      <c r="AB201" s="6"/>
      <c r="AC201" s="6">
        <v>2200</v>
      </c>
      <c r="AD201" s="6">
        <v>7500</v>
      </c>
    </row>
    <row r="202" spans="22:30" x14ac:dyDescent="0.25">
      <c r="V202" s="63" t="s">
        <v>136</v>
      </c>
      <c r="W202" s="6"/>
      <c r="X202" s="6">
        <v>4100</v>
      </c>
      <c r="Y202" s="6"/>
      <c r="Z202" s="6">
        <v>3600</v>
      </c>
      <c r="AA202" s="6">
        <v>4600</v>
      </c>
      <c r="AB202" s="6">
        <v>4700</v>
      </c>
      <c r="AC202" s="6"/>
      <c r="AD202" s="6">
        <v>17000</v>
      </c>
    </row>
    <row r="203" spans="22:30" x14ac:dyDescent="0.25">
      <c r="V203" s="63" t="s">
        <v>125</v>
      </c>
      <c r="W203" s="6">
        <v>3400</v>
      </c>
      <c r="X203" s="6">
        <v>5400</v>
      </c>
      <c r="Y203" s="6">
        <v>3100</v>
      </c>
      <c r="Z203" s="6"/>
      <c r="AA203" s="6">
        <v>4200</v>
      </c>
      <c r="AB203" s="6">
        <v>3800</v>
      </c>
      <c r="AC203" s="6"/>
      <c r="AD203" s="6">
        <v>19900</v>
      </c>
    </row>
    <row r="204" spans="22:30" x14ac:dyDescent="0.25">
      <c r="V204" s="24" t="s">
        <v>205</v>
      </c>
      <c r="W204" s="6">
        <v>5900</v>
      </c>
      <c r="X204" s="6">
        <v>5900</v>
      </c>
      <c r="Y204" s="6"/>
      <c r="Z204" s="6">
        <v>8800</v>
      </c>
      <c r="AA204" s="6">
        <v>6500</v>
      </c>
      <c r="AB204" s="6">
        <v>16300</v>
      </c>
      <c r="AC204" s="6">
        <v>14800</v>
      </c>
      <c r="AD204" s="6">
        <v>58200</v>
      </c>
    </row>
    <row r="205" spans="22:30" x14ac:dyDescent="0.25">
      <c r="V205" s="63" t="s">
        <v>120</v>
      </c>
      <c r="W205" s="6">
        <v>2800</v>
      </c>
      <c r="X205" s="6"/>
      <c r="Y205" s="6"/>
      <c r="Z205" s="6">
        <v>4500</v>
      </c>
      <c r="AA205" s="6"/>
      <c r="AB205" s="6">
        <v>5600</v>
      </c>
      <c r="AC205" s="6">
        <v>3900</v>
      </c>
      <c r="AD205" s="6">
        <v>16800</v>
      </c>
    </row>
    <row r="206" spans="22:30" x14ac:dyDescent="0.25">
      <c r="V206" s="63" t="s">
        <v>136</v>
      </c>
      <c r="W206" s="6"/>
      <c r="X206" s="6">
        <v>5900</v>
      </c>
      <c r="Y206" s="6"/>
      <c r="Z206" s="6"/>
      <c r="AA206" s="6">
        <v>6500</v>
      </c>
      <c r="AB206" s="6">
        <v>7000</v>
      </c>
      <c r="AC206" s="6"/>
      <c r="AD206" s="6">
        <v>19400</v>
      </c>
    </row>
    <row r="207" spans="22:30" x14ac:dyDescent="0.25">
      <c r="V207" s="63" t="s">
        <v>125</v>
      </c>
      <c r="W207" s="6">
        <v>3100</v>
      </c>
      <c r="X207" s="6"/>
      <c r="Y207" s="6"/>
      <c r="Z207" s="6">
        <v>4300</v>
      </c>
      <c r="AA207" s="6"/>
      <c r="AB207" s="6">
        <v>3700</v>
      </c>
      <c r="AC207" s="6">
        <v>10900</v>
      </c>
      <c r="AD207" s="6">
        <v>22000</v>
      </c>
    </row>
    <row r="208" spans="22:30" x14ac:dyDescent="0.25">
      <c r="V208" s="24" t="s">
        <v>186</v>
      </c>
      <c r="W208" s="6">
        <v>29900</v>
      </c>
      <c r="X208" s="6">
        <v>32400</v>
      </c>
      <c r="Y208" s="6">
        <v>21500</v>
      </c>
      <c r="Z208" s="6">
        <v>44900</v>
      </c>
      <c r="AA208" s="6">
        <v>23000</v>
      </c>
      <c r="AB208" s="6">
        <v>51300</v>
      </c>
      <c r="AC208" s="6">
        <v>45800</v>
      </c>
      <c r="AD208" s="6">
        <v>248800</v>
      </c>
    </row>
  </sheetData>
  <autoFilter ref="P49:P98" xr:uid="{BC0D4806-D66D-452D-9586-F92A7DA9252D}"/>
  <mergeCells count="2">
    <mergeCell ref="AA53:AB53"/>
    <mergeCell ref="AI76:AK76"/>
  </mergeCells>
  <phoneticPr fontId="2" type="noConversion"/>
  <conditionalFormatting sqref="D49:D98">
    <cfRule type="containsText" dxfId="25" priority="28" operator="containsText" text="clothing">
      <formula>NOT(ISERROR(SEARCH("clothing",D49)))</formula>
    </cfRule>
  </conditionalFormatting>
  <conditionalFormatting sqref="F1:F40 F42:F1048576 G42">
    <cfRule type="dataBar" priority="44">
      <dataBar>
        <cfvo type="min"/>
        <cfvo type="max"/>
        <color rgb="FF638EC6"/>
      </dataBar>
      <extLst>
        <ext xmlns:x14="http://schemas.microsoft.com/office/spreadsheetml/2009/9/main" uri="{B025F937-C7B1-47D3-B67F-A62EFF666E3E}">
          <x14:id>{FC6E6A42-A4BB-40AA-BA80-76B79D73F9D1}</x14:id>
        </ext>
      </extLst>
    </cfRule>
  </conditionalFormatting>
  <conditionalFormatting sqref="G50">
    <cfRule type="colorScale" priority="40">
      <colorScale>
        <cfvo type="min"/>
        <cfvo type="percentile" val="50"/>
        <cfvo type="max"/>
        <color rgb="FFF8696B"/>
        <color rgb="FFFFEB84"/>
        <color rgb="FF63BE7B"/>
      </colorScale>
    </cfRule>
  </conditionalFormatting>
  <conditionalFormatting sqref="G50:G98">
    <cfRule type="colorScale" priority="41">
      <colorScale>
        <cfvo type="min"/>
        <cfvo type="percentile" val="50"/>
        <cfvo type="max"/>
        <color rgb="FFF8696B"/>
        <color rgb="FFFCFCFF"/>
        <color rgb="FF63BE7B"/>
      </colorScale>
    </cfRule>
  </conditionalFormatting>
  <conditionalFormatting sqref="H1:H120 H126:H127 Q135:Q155 H149:H1048576">
    <cfRule type="timePeriod" dxfId="24" priority="42" timePeriod="yesterday">
      <formula>FLOOR(H1,1)=TODAY()-1</formula>
    </cfRule>
    <cfRule type="timePeriod" dxfId="23" priority="48" timePeriod="lastWeek">
      <formula>AND(TODAY()-ROUNDDOWN(H1,0)&gt;=(WEEKDAY(TODAY())),TODAY()-ROUNDDOWN(H1,0)&lt;(WEEKDAY(TODAY())+7))</formula>
    </cfRule>
  </conditionalFormatting>
  <conditionalFormatting sqref="H1:H120 H149:H1048576 Q135:Q155 H126:H127">
    <cfRule type="duplicateValues" dxfId="22" priority="47"/>
  </conditionalFormatting>
  <conditionalFormatting sqref="I1:I120 I126:I1048576">
    <cfRule type="containsText" dxfId="21" priority="43" operator="containsText" text="cash on delivery">
      <formula>NOT(ISERROR(SEARCH("cash on delivery",I1)))</formula>
    </cfRule>
  </conditionalFormatting>
  <conditionalFormatting sqref="P49:P98">
    <cfRule type="cellIs" dxfId="20" priority="30" operator="equal">
      <formula>"south"</formula>
    </cfRule>
  </conditionalFormatting>
  <conditionalFormatting sqref="Q49">
    <cfRule type="top10" dxfId="19" priority="33" bottom="1" rank="10"/>
    <cfRule type="top10" dxfId="18" priority="34" percent="1" rank="10"/>
    <cfRule type="top10" dxfId="17" priority="35" percent="1" rank="5"/>
    <cfRule type="top10" priority="36" rank="5"/>
  </conditionalFormatting>
  <conditionalFormatting sqref="Q49:Q98">
    <cfRule type="cellIs" dxfId="16" priority="31" operator="lessThan">
      <formula>3000</formula>
    </cfRule>
  </conditionalFormatting>
  <conditionalFormatting sqref="Q50:Q98">
    <cfRule type="cellIs" dxfId="15" priority="32" operator="greaterThan">
      <formula>6000</formula>
    </cfRule>
  </conditionalFormatting>
  <conditionalFormatting sqref="R49:R98">
    <cfRule type="dataBar" priority="27">
      <dataBar>
        <cfvo type="min"/>
        <cfvo type="max"/>
        <color rgb="FF008AEF"/>
      </dataBar>
      <extLst>
        <ext xmlns:x14="http://schemas.microsoft.com/office/spreadsheetml/2009/9/main" uri="{B025F937-C7B1-47D3-B67F-A62EFF666E3E}">
          <x14:id>{ECDA1C78-8D11-4D63-B944-7DA81A678156}</x14:id>
        </ext>
      </extLst>
    </cfRule>
  </conditionalFormatting>
  <conditionalFormatting sqref="AB54">
    <cfRule type="colorScale" priority="39">
      <colorScale>
        <cfvo type="min"/>
        <cfvo type="percentile" val="50"/>
        <cfvo type="max"/>
        <color rgb="FFF8696B"/>
        <color rgb="FFFFEB84"/>
        <color rgb="FF63BE7B"/>
      </colorScale>
    </cfRule>
  </conditionalFormatting>
  <conditionalFormatting sqref="AB102">
    <cfRule type="top10" dxfId="14" priority="22" bottom="1" rank="10"/>
    <cfRule type="top10" dxfId="13" priority="23" percent="1" rank="10"/>
    <cfRule type="top10" dxfId="12" priority="24" percent="1" rank="5"/>
    <cfRule type="top10" priority="25" rank="5"/>
  </conditionalFormatting>
  <conditionalFormatting sqref="AB118">
    <cfRule type="cellIs" dxfId="11" priority="1" operator="equal">
      <formula>"south"</formula>
    </cfRule>
  </conditionalFormatting>
  <conditionalFormatting sqref="AB102:AE114">
    <cfRule type="cellIs" dxfId="10" priority="3" operator="lessThan">
      <formula>3000</formula>
    </cfRule>
  </conditionalFormatting>
  <conditionalFormatting sqref="AB103:AE114">
    <cfRule type="cellIs" dxfId="9" priority="2" operator="greaterThan">
      <formula>6000</formula>
    </cfRule>
  </conditionalFormatting>
  <conditionalFormatting sqref="AC102">
    <cfRule type="top10" dxfId="8" priority="16" bottom="1" rank="10"/>
    <cfRule type="top10" dxfId="7" priority="17" percent="1" rank="10"/>
    <cfRule type="top10" dxfId="6" priority="18" percent="1" rank="5"/>
    <cfRule type="top10" priority="19" rank="5"/>
  </conditionalFormatting>
  <conditionalFormatting sqref="AD102">
    <cfRule type="top10" dxfId="5" priority="10" bottom="1" rank="10"/>
    <cfRule type="top10" dxfId="4" priority="11" percent="1" rank="10"/>
    <cfRule type="top10" dxfId="3" priority="12" percent="1" rank="5"/>
    <cfRule type="top10" priority="13" rank="5"/>
  </conditionalFormatting>
  <conditionalFormatting sqref="AE102">
    <cfRule type="top10" dxfId="2" priority="4" bottom="1" rank="10"/>
    <cfRule type="top10" dxfId="1" priority="5" percent="1" rank="10"/>
    <cfRule type="top10" dxfId="0" priority="6" percent="1" rank="5"/>
    <cfRule type="top10" priority="7" rank="5"/>
  </conditionalFormatting>
  <pageMargins left="0.7" right="0.7" top="0.75" bottom="0.75" header="0.3" footer="0.3"/>
  <pageSetup orientation="portrait" r:id="rId6"/>
  <drawing r:id="rId7"/>
  <tableParts count="7">
    <tablePart r:id="rId8"/>
    <tablePart r:id="rId9"/>
    <tablePart r:id="rId10"/>
    <tablePart r:id="rId11"/>
    <tablePart r:id="rId12"/>
    <tablePart r:id="rId13"/>
    <tablePart r:id="rId14"/>
  </tableParts>
  <extLst>
    <ext xmlns:x14="http://schemas.microsoft.com/office/spreadsheetml/2009/9/main" uri="{78C0D931-6437-407d-A8EE-F0AAD7539E65}">
      <x14:conditionalFormattings>
        <x14:conditionalFormatting xmlns:xm="http://schemas.microsoft.com/office/excel/2006/main">
          <x14:cfRule type="dataBar" id="{FC6E6A42-A4BB-40AA-BA80-76B79D73F9D1}">
            <x14:dataBar minLength="0" maxLength="100" border="1" negativeBarBorderColorSameAsPositive="0">
              <x14:cfvo type="autoMin"/>
              <x14:cfvo type="autoMax"/>
              <x14:borderColor rgb="FF638EC6"/>
              <x14:negativeFillColor rgb="FFFF0000"/>
              <x14:negativeBorderColor rgb="FFFF0000"/>
              <x14:axisColor rgb="FF000000"/>
            </x14:dataBar>
          </x14:cfRule>
          <xm:sqref>F1:F40 F42:F1048576 G42</xm:sqref>
        </x14:conditionalFormatting>
        <x14:conditionalFormatting xmlns:xm="http://schemas.microsoft.com/office/excel/2006/main">
          <x14:cfRule type="iconSet" priority="26" id="{2D84FA9A-D60F-431B-A2AE-8934F903C275}">
            <x14:iconSet iconSet="3Stars">
              <x14:cfvo type="percent">
                <xm:f>0</xm:f>
              </x14:cfvo>
              <x14:cfvo type="percent">
                <xm:f>2</xm:f>
              </x14:cfvo>
              <x14:cfvo type="num">
                <xm:f>5</xm:f>
              </x14:cfvo>
            </x14:iconSet>
          </x14:cfRule>
          <xm:sqref>O49:O98</xm:sqref>
        </x14:conditionalFormatting>
        <x14:conditionalFormatting xmlns:xm="http://schemas.microsoft.com/office/excel/2006/main">
          <x14:cfRule type="iconSet" priority="37" id="{7716208C-1B37-4AA9-9E03-D2D58D0BE628}">
            <x14:iconSet iconSet="3Stars">
              <x14:cfvo type="percent">
                <xm:f>0</xm:f>
              </x14:cfvo>
              <x14:cfvo type="percent">
                <xm:f>33</xm:f>
              </x14:cfvo>
              <x14:cfvo type="percent">
                <xm:f>67</xm:f>
              </x14:cfvo>
            </x14:iconSet>
          </x14:cfRule>
          <xm:sqref>O50:O98</xm:sqref>
        </x14:conditionalFormatting>
        <x14:conditionalFormatting xmlns:xm="http://schemas.microsoft.com/office/excel/2006/main">
          <x14:cfRule type="dataBar" id="{ECDA1C78-8D11-4D63-B944-7DA81A678156}">
            <x14:dataBar minLength="0" maxLength="100" gradient="0">
              <x14:cfvo type="autoMin"/>
              <x14:cfvo type="autoMax"/>
              <x14:negativeFillColor rgb="FFFF0000"/>
              <x14:axisColor rgb="FF000000"/>
            </x14:dataBar>
          </x14:cfRule>
          <xm:sqref>R49:R98</xm:sqref>
        </x14:conditionalFormatting>
      </x14:conditionalFormattings>
    </ext>
    <ext xmlns:x14="http://schemas.microsoft.com/office/spreadsheetml/2009/9/main" uri="{A8765BA9-456A-4dab-B4F3-ACF838C121DE}">
      <x14:slicerList>
        <x14:slicer r:id="rId15"/>
      </x14:slicerList>
    </ext>
    <ext xmlns:x15="http://schemas.microsoft.com/office/spreadsheetml/2010/11/main" uri="{7E03D99C-DC04-49d9-9315-930204A7B6E9}">
      <x15:timelineRefs>
        <x15:timelineRef r:id="rId16"/>
      </x15:timelineRefs>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5EE9D219-F339-4377-9586-E6CA021982F9}">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Sheet12</vt:lpstr>
      <vt:lpstr>Sheet6</vt:lpstr>
      <vt:lpstr>Sheet2</vt:lpstr>
      <vt:lpstr>Sheet3</vt:lpstr>
      <vt:lpstr>Sheet4</vt: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MITS</dc:creator>
  <cp:lastModifiedBy>MITS</cp:lastModifiedBy>
  <dcterms:created xsi:type="dcterms:W3CDTF">2026-06-01T12:14:05Z</dcterms:created>
  <dcterms:modified xsi:type="dcterms:W3CDTF">2026-06-06T11:30:33Z</dcterms:modified>
</cp:coreProperties>
</file>