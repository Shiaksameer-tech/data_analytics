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ITS\Desktop\"/>
    </mc:Choice>
  </mc:AlternateContent>
  <xr:revisionPtr revIDLastSave="0" documentId="8_{2DCFF227-85C2-47C8-ADA8-63E5139D92BE}" xr6:coauthVersionLast="47" xr6:coauthVersionMax="47" xr10:uidLastSave="{00000000-0000-0000-0000-000000000000}"/>
  <bookViews>
    <workbookView xWindow="-120" yWindow="-120" windowWidth="29040" windowHeight="15720" activeTab="1" xr2:uid="{B05EA017-3451-4701-8B8E-3C68B0AC97EE}"/>
  </bookViews>
  <sheets>
    <sheet name="Sheet3" sheetId="3" r:id="rId1"/>
    <sheet name="Sheet1" sheetId="1" r:id="rId2"/>
    <sheet name="Sheet2" sheetId="2" r:id="rId3"/>
  </sheets>
  <calcPr calcId="191029"/>
  <pivotCaches>
    <pivotCache cacheId="8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A2" i="1" l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Y5" i="1"/>
  <c r="Y6" i="1"/>
  <c r="Y11" i="1"/>
  <c r="Y12" i="1"/>
  <c r="Y15" i="1"/>
  <c r="Y21" i="1"/>
  <c r="X2" i="1"/>
  <c r="Y2" i="1" s="1"/>
  <c r="X3" i="1"/>
  <c r="Y3" i="1" s="1"/>
  <c r="X4" i="1"/>
  <c r="Y4" i="1" s="1"/>
  <c r="X5" i="1"/>
  <c r="X6" i="1"/>
  <c r="X7" i="1"/>
  <c r="Y7" i="1" s="1"/>
  <c r="X8" i="1"/>
  <c r="Y8" i="1" s="1"/>
  <c r="X9" i="1"/>
  <c r="Y9" i="1" s="1"/>
  <c r="X10" i="1"/>
  <c r="Y10" i="1" s="1"/>
  <c r="X11" i="1"/>
  <c r="X12" i="1"/>
  <c r="X13" i="1"/>
  <c r="Y13" i="1" s="1"/>
  <c r="X14" i="1"/>
  <c r="Y14" i="1" s="1"/>
  <c r="X15" i="1"/>
  <c r="X16" i="1"/>
  <c r="Y16" i="1" s="1"/>
  <c r="X17" i="1"/>
  <c r="Y17" i="1" s="1"/>
  <c r="X18" i="1"/>
  <c r="Y18" i="1" s="1"/>
  <c r="X19" i="1"/>
  <c r="Y19" i="1" s="1"/>
  <c r="X20" i="1"/>
  <c r="Y20" i="1" s="1"/>
  <c r="X21" i="1"/>
  <c r="V2" i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W2" i="1"/>
  <c r="W3" i="1"/>
  <c r="W4" i="1"/>
  <c r="W5" i="1"/>
  <c r="W6" i="1"/>
  <c r="W7" i="1"/>
  <c r="W8" i="1"/>
  <c r="W9" i="1"/>
  <c r="W10" i="1"/>
  <c r="W11" i="1"/>
  <c r="W12" i="1"/>
  <c r="W13" i="1"/>
  <c r="W14" i="1"/>
  <c r="W15" i="1"/>
  <c r="W16" i="1"/>
  <c r="W17" i="1"/>
  <c r="W18" i="1"/>
  <c r="W19" i="1"/>
  <c r="W20" i="1"/>
  <c r="W21" i="1"/>
  <c r="C2" i="1" a="1"/>
  <c r="C2" i="1" s="1"/>
  <c r="R24" i="1" a="1"/>
  <c r="R24" i="1"/>
  <c r="H10" i="1"/>
  <c r="G13" i="1"/>
  <c r="G12" i="1"/>
  <c r="G11" i="1"/>
  <c r="G10" i="1"/>
  <c r="F12" i="1"/>
  <c r="F11" i="1"/>
  <c r="F10" i="1"/>
  <c r="K24" i="1"/>
  <c r="M4" i="1"/>
  <c r="M3" i="1"/>
  <c r="M2" i="1"/>
  <c r="E12" i="1"/>
  <c r="E11" i="1"/>
  <c r="E10" i="1"/>
  <c r="F31" i="1"/>
  <c r="L43" i="1"/>
  <c r="K25" i="1"/>
  <c r="K23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<sst xmlns="http://schemas.openxmlformats.org/spreadsheetml/2006/main" count="216" uniqueCount="109">
  <si>
    <t>ProductId</t>
  </si>
  <si>
    <t>ProductName</t>
  </si>
  <si>
    <t>price</t>
  </si>
  <si>
    <t>p1001</t>
  </si>
  <si>
    <t>p1002</t>
  </si>
  <si>
    <t>p1003</t>
  </si>
  <si>
    <t>p1004</t>
  </si>
  <si>
    <t>p1005</t>
  </si>
  <si>
    <t>p1006</t>
  </si>
  <si>
    <t>p1007</t>
  </si>
  <si>
    <t>Headphones</t>
  </si>
  <si>
    <t>Iphone</t>
  </si>
  <si>
    <t>Airpods</t>
  </si>
  <si>
    <t>Samsung</t>
  </si>
  <si>
    <t>MacBook</t>
  </si>
  <si>
    <t>Apple</t>
  </si>
  <si>
    <t>Quantity</t>
  </si>
  <si>
    <t>Xlookup</t>
  </si>
  <si>
    <t>Vlookup</t>
  </si>
  <si>
    <t>Sum</t>
  </si>
  <si>
    <t>Average</t>
  </si>
  <si>
    <t>Running Total</t>
  </si>
  <si>
    <t>Count</t>
  </si>
  <si>
    <t>Emp ID</t>
  </si>
  <si>
    <t>Name</t>
  </si>
  <si>
    <t>Department</t>
  </si>
  <si>
    <t>Salary</t>
  </si>
  <si>
    <t>E101</t>
  </si>
  <si>
    <t>Ravi</t>
  </si>
  <si>
    <t>Sales</t>
  </si>
  <si>
    <t>E102</t>
  </si>
  <si>
    <t>Priya</t>
  </si>
  <si>
    <t>HR</t>
  </si>
  <si>
    <t>E103</t>
  </si>
  <si>
    <t>Kiran</t>
  </si>
  <si>
    <t>IT</t>
  </si>
  <si>
    <t>E104</t>
  </si>
  <si>
    <t>Anil</t>
  </si>
  <si>
    <t>Finance</t>
  </si>
  <si>
    <t>e103</t>
  </si>
  <si>
    <t>A</t>
  </si>
  <si>
    <t>B</t>
  </si>
  <si>
    <t>C</t>
  </si>
  <si>
    <t>D</t>
  </si>
  <si>
    <t>Jan</t>
  </si>
  <si>
    <t>Feb</t>
  </si>
  <si>
    <t>Mar</t>
  </si>
  <si>
    <t>Apr</t>
  </si>
  <si>
    <t>Hlookup</t>
  </si>
  <si>
    <t>Product A</t>
  </si>
  <si>
    <t>Product B</t>
  </si>
  <si>
    <t>Product C</t>
  </si>
  <si>
    <t>index</t>
  </si>
  <si>
    <t>E105</t>
  </si>
  <si>
    <t>Sai</t>
  </si>
  <si>
    <t>Marketing</t>
  </si>
  <si>
    <t>vlookup</t>
  </si>
  <si>
    <t>Product</t>
  </si>
  <si>
    <t>Product D</t>
  </si>
  <si>
    <t>Profit</t>
  </si>
  <si>
    <t>xlookup</t>
  </si>
  <si>
    <t>Match</t>
  </si>
  <si>
    <t>Index</t>
  </si>
  <si>
    <t>City</t>
  </si>
  <si>
    <t>Experience</t>
  </si>
  <si>
    <t>Hyderabad</t>
  </si>
  <si>
    <t>Chennai</t>
  </si>
  <si>
    <t>Bangalore</t>
  </si>
  <si>
    <t>Pune</t>
  </si>
  <si>
    <t>E106</t>
  </si>
  <si>
    <t>Neha</t>
  </si>
  <si>
    <t>E107</t>
  </si>
  <si>
    <t>Arjun</t>
  </si>
  <si>
    <t>E108</t>
  </si>
  <si>
    <t>Divya</t>
  </si>
  <si>
    <t>E109</t>
  </si>
  <si>
    <t>Rohit</t>
  </si>
  <si>
    <t>E110</t>
  </si>
  <si>
    <t>Pooja</t>
  </si>
  <si>
    <t>E111</t>
  </si>
  <si>
    <t>Manoj</t>
  </si>
  <si>
    <t>E112</t>
  </si>
  <si>
    <t>Keerthi</t>
  </si>
  <si>
    <t>E113</t>
  </si>
  <si>
    <t>Varun</t>
  </si>
  <si>
    <t>E114</t>
  </si>
  <si>
    <t>Sneha</t>
  </si>
  <si>
    <t>E115</t>
  </si>
  <si>
    <t>Akash</t>
  </si>
  <si>
    <t>E116</t>
  </si>
  <si>
    <t>Harsha</t>
  </si>
  <si>
    <t>E117</t>
  </si>
  <si>
    <t>Bhavana</t>
  </si>
  <si>
    <t>E118</t>
  </si>
  <si>
    <t>Nikhil</t>
  </si>
  <si>
    <t>E119</t>
  </si>
  <si>
    <t>Ayesha</t>
  </si>
  <si>
    <t>E120</t>
  </si>
  <si>
    <t>Teja</t>
  </si>
  <si>
    <t>Student</t>
  </si>
  <si>
    <t>Marks</t>
  </si>
  <si>
    <t>Result</t>
  </si>
  <si>
    <t>bonus</t>
  </si>
  <si>
    <t>salaryy</t>
  </si>
  <si>
    <t>increment(AND)</t>
  </si>
  <si>
    <t>not</t>
  </si>
  <si>
    <t>x-or</t>
  </si>
  <si>
    <t>if+xor</t>
  </si>
  <si>
    <t>ColumSn1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</si>
</sst>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indexed="65"/>
      </top>
      <bottom/>
      <diagonal/>
    </border>
    <border>
      <left style="thin">
        <color indexed="65"/>
      </left>
      <right style="thin">
        <color rgb="FF999999"/>
      </right>
      <top style="thin">
        <color indexed="65"/>
      </top>
      <bottom/>
      <diagonal/>
    </border>
    <border>
      <left style="thin">
        <color rgb="FF999999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/>
      <top style="thin">
        <color indexed="65"/>
      </top>
      <bottom style="thin">
        <color rgb="FF999999"/>
      </bottom>
      <diagonal/>
    </border>
    <border>
      <left style="thin">
        <color indexed="65"/>
      </left>
      <right style="thin">
        <color rgb="FF999999"/>
      </right>
      <top style="thin">
        <color indexed="65"/>
      </top>
      <bottom style="thin">
        <color rgb="FF999999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NumberFormat="1" applyAlignment="1">
      <alignment vertical="center" wrapText="1"/>
    </xf>
  </cellXfs>
  <cellStyles count="1">
    <cellStyle name="Normal" xfId="0" builtinId="0"/>
  </cellStyles>
  <dxfs count="23"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numFmt numFmtId="0" formatCode="General"/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TS" refreshedDate="46174.75532488426" createdVersion="8" refreshedVersion="8" minRefreshableVersion="3" recordCount="7" xr:uid="{4359B676-EF88-470B-968E-1509319A0E0D}">
  <cacheSource type="worksheet">
    <worksheetSource ref="J11:L18" sheet="Sheet1"/>
  </cacheSource>
  <cacheFields count="3">
    <cacheField name="ProductId" numFmtId="0">
      <sharedItems/>
    </cacheField>
    <cacheField name="ProductName" numFmtId="0">
      <sharedItems/>
    </cacheField>
    <cacheField name="price" numFmtId="0">
      <sharedItems containsSemiMixedTypes="0" containsString="0" containsNumber="1" containsInteger="1" minValue="1000" maxValue="100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">
  <r>
    <s v="p1001"/>
    <s v="Headphones"/>
    <n v="1000"/>
  </r>
  <r>
    <s v="p1002"/>
    <s v="Iphone"/>
    <n v="50000"/>
  </r>
  <r>
    <s v="p1003"/>
    <s v="Airpods"/>
    <n v="10000"/>
  </r>
  <r>
    <s v="p1004"/>
    <s v="Samsung"/>
    <n v="20000"/>
  </r>
  <r>
    <s v="p1005"/>
    <s v="MacBook"/>
    <n v="100000"/>
  </r>
  <r>
    <s v="p1006"/>
    <s v="Apple"/>
    <n v="50000"/>
  </r>
  <r>
    <s v="p1007"/>
    <s v="Samsung"/>
    <n v="200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463124-4665-4A05-B81C-3D50D9D9875A}" name="PivotTable4" cacheId="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20" firstHeaderRow="1" firstDataRow="1" firstDataCol="0"/>
  <pivotFields count="3">
    <pivotField showAll="0"/>
    <pivotField showAll="0"/>
    <pivotField showAll="0"/>
  </pivot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72C04C-EA70-481B-AF19-F59B12CC0349}" name="Table1" displayName="Table1" ref="J11:L18" totalsRowShown="0" headerRowDxfId="22">
  <autoFilter ref="J11:L18" xr:uid="{1472C04C-EA70-481B-AF19-F59B12CC0349}"/>
  <tableColumns count="3">
    <tableColumn id="1" xr3:uid="{454D6866-C375-44F7-9DBE-A9F66E2EE154}" name="ProductId"/>
    <tableColumn id="2" xr3:uid="{72E53A66-50CF-4747-92A7-33747E9FCE50}" name="ProductName"/>
    <tableColumn id="3" xr3:uid="{53A4DCEA-8AF1-476A-870A-E67EE763B8E1}" name="pric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41B40B5-FD34-4D02-8C24-D239CB7F3BDB}" name="Table2" displayName="Table2" ref="H1:M4" totalsRowShown="0" headerRowDxfId="15" dataDxfId="16">
  <autoFilter ref="H1:M4" xr:uid="{E41B40B5-FD34-4D02-8C24-D239CB7F3BDB}"/>
  <tableColumns count="6">
    <tableColumn id="1" xr3:uid="{AD55C4A3-C2C9-4E76-9F94-BC8A9C3C6F59}" name="Product" dataDxfId="21"/>
    <tableColumn id="2" xr3:uid="{2E7B0FE2-C8D9-48FA-A399-C5574007CD92}" name="A" dataDxfId="20"/>
    <tableColumn id="3" xr3:uid="{FC2284A9-90B6-4051-A8E8-D55B28953163}" name="B" dataDxfId="19"/>
    <tableColumn id="4" xr3:uid="{0DADCA54-BDA4-43AC-8390-50DD33B3C87F}" name="C" dataDxfId="18"/>
    <tableColumn id="5" xr3:uid="{6A46F2A6-D66C-4A80-A65C-48DDEA6E05F7}" name="D" dataDxfId="17"/>
    <tableColumn id="6" xr3:uid="{AF5B252E-7672-43F0-ACF6-ADD2AC5B726C}" name="Hlookup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FD87927-5DEF-403D-852F-E5C4674ACCB8}" name="Table3" displayName="Table3" ref="P1:AB21" totalsRowShown="0" headerRowDxfId="14" dataDxfId="13">
  <autoFilter ref="P1:AB21" xr:uid="{AFD87927-5DEF-403D-852F-E5C4674ACCB8}"/>
  <tableColumns count="13">
    <tableColumn id="1" xr3:uid="{918E29F9-D354-4FCD-94E2-A63EF3FF119A}" name="Emp ID" dataDxfId="12"/>
    <tableColumn id="2" xr3:uid="{61640B60-4EE3-429E-86DC-ED1802A3D925}" name="Name" dataDxfId="11"/>
    <tableColumn id="3" xr3:uid="{7A0E1E1C-BE99-4532-9A39-1BAF39E6C8B3}" name="Department" dataDxfId="10"/>
    <tableColumn id="4" xr3:uid="{D0286011-7D07-4F02-A951-B2F5A4F09E56}" name="City" dataDxfId="9"/>
    <tableColumn id="5" xr3:uid="{FF141826-90F9-4B4E-BE8B-E823DBE0E608}" name="Experience" dataDxfId="8"/>
    <tableColumn id="6" xr3:uid="{CD2CF6DA-DDAC-4E21-B006-72DCDEC57188}" name="Salary" dataDxfId="7"/>
    <tableColumn id="7" xr3:uid="{015B9C35-80DD-471A-A960-6B740B1F5779}" name="increment(AND)" dataDxfId="6">
      <calculatedColumnFormula>AND(Table3[[#This Row],[Experience]]&gt;4,Table3[[#This Row],[Salary]]&gt;40000)</calculatedColumnFormula>
    </tableColumn>
    <tableColumn id="9" xr3:uid="{76C49286-FA01-4E62-8621-15C159687147}" name="salaryy" dataDxfId="5">
      <calculatedColumnFormula>IF(Table3[[#This Row],[Salary]]&gt;50000,"high","low")</calculatedColumnFormula>
    </tableColumn>
    <tableColumn id="12" xr3:uid="{473A6B1F-6723-437D-9554-5A7E29097B31}" name="bonus" dataDxfId="4">
      <calculatedColumnFormula>OR(Table3[[#This Row],[Salary]]&lt;50000,Table3[[#This Row],[Experience]]&lt;3)</calculatedColumnFormula>
    </tableColumn>
    <tableColumn id="13" xr3:uid="{0CBAFF08-F6CC-4527-AAFE-7D5CDAA04B29}" name="not" dataDxfId="3">
      <calculatedColumnFormula>NOT(Table3[[#This Row],[bonus]])</calculatedColumnFormula>
    </tableColumn>
    <tableColumn id="14" xr3:uid="{64E8305D-E7B7-4F3F-AA9E-CF1FBFD5D0CF}" name="x-or" dataDxfId="2">
      <calculatedColumnFormula>_xlfn.XOR(Table3[[#This Row],[Salary]]&gt;=30000,Table3[[#This Row],[Experience]]&gt;=5)</calculatedColumnFormula>
    </tableColumn>
    <tableColumn id="15" xr3:uid="{6302E394-0141-464B-BF95-770A60531936}" name="if+xor" dataDxfId="1">
      <calculatedColumnFormula>IF(_xlfn.XOR(Table3[[#This Row],[Salary]]&gt;=30000,Table3[[#This Row],[Experience]]&gt;=5),"Reward","no Reward")</calculatedColumnFormula>
    </tableColumn>
    <tableColumn id="16" xr3:uid="{C80B7DE3-0BA7-4A80-9F2E-5DB231F0436E}" name="ColumSn1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834D3F-8FF6-46D1-A23D-0A0C773B1DF6}">
  <dimension ref="A3:C20"/>
  <sheetViews>
    <sheetView workbookViewId="0">
      <selection activeCell="A3" sqref="A3"/>
    </sheetView>
  </sheetViews>
  <sheetFormatPr defaultRowHeight="15" x14ac:dyDescent="0.25"/>
  <sheetData>
    <row r="3" spans="1:3" x14ac:dyDescent="0.25">
      <c r="A3" s="2"/>
      <c r="B3" s="3"/>
      <c r="C3" s="4"/>
    </row>
    <row r="4" spans="1:3" x14ac:dyDescent="0.25">
      <c r="A4" s="5"/>
      <c r="B4" s="6"/>
      <c r="C4" s="7"/>
    </row>
    <row r="5" spans="1:3" x14ac:dyDescent="0.25">
      <c r="A5" s="5"/>
      <c r="B5" s="6"/>
      <c r="C5" s="7"/>
    </row>
    <row r="6" spans="1:3" x14ac:dyDescent="0.25">
      <c r="A6" s="5"/>
      <c r="B6" s="6"/>
      <c r="C6" s="7"/>
    </row>
    <row r="7" spans="1:3" x14ac:dyDescent="0.25">
      <c r="A7" s="5"/>
      <c r="B7" s="6"/>
      <c r="C7" s="7"/>
    </row>
    <row r="8" spans="1:3" x14ac:dyDescent="0.25">
      <c r="A8" s="5"/>
      <c r="B8" s="6"/>
      <c r="C8" s="7"/>
    </row>
    <row r="9" spans="1:3" x14ac:dyDescent="0.25">
      <c r="A9" s="5"/>
      <c r="B9" s="6"/>
      <c r="C9" s="7"/>
    </row>
    <row r="10" spans="1:3" x14ac:dyDescent="0.25">
      <c r="A10" s="5"/>
      <c r="B10" s="6"/>
      <c r="C10" s="7"/>
    </row>
    <row r="11" spans="1:3" x14ac:dyDescent="0.25">
      <c r="A11" s="5"/>
      <c r="B11" s="6"/>
      <c r="C11" s="7"/>
    </row>
    <row r="12" spans="1:3" x14ac:dyDescent="0.25">
      <c r="A12" s="5"/>
      <c r="B12" s="6"/>
      <c r="C12" s="7"/>
    </row>
    <row r="13" spans="1:3" x14ac:dyDescent="0.25">
      <c r="A13" s="5"/>
      <c r="B13" s="6"/>
      <c r="C13" s="7"/>
    </row>
    <row r="14" spans="1:3" x14ac:dyDescent="0.25">
      <c r="A14" s="5"/>
      <c r="B14" s="6"/>
      <c r="C14" s="7"/>
    </row>
    <row r="15" spans="1:3" x14ac:dyDescent="0.25">
      <c r="A15" s="5"/>
      <c r="B15" s="6"/>
      <c r="C15" s="7"/>
    </row>
    <row r="16" spans="1:3" x14ac:dyDescent="0.25">
      <c r="A16" s="5"/>
      <c r="B16" s="6"/>
      <c r="C16" s="7"/>
    </row>
    <row r="17" spans="1:3" x14ac:dyDescent="0.25">
      <c r="A17" s="5"/>
      <c r="B17" s="6"/>
      <c r="C17" s="7"/>
    </row>
    <row r="18" spans="1:3" x14ac:dyDescent="0.25">
      <c r="A18" s="5"/>
      <c r="B18" s="6"/>
      <c r="C18" s="7"/>
    </row>
    <row r="19" spans="1:3" x14ac:dyDescent="0.25">
      <c r="A19" s="5"/>
      <c r="B19" s="6"/>
      <c r="C19" s="7"/>
    </row>
    <row r="20" spans="1:3" x14ac:dyDescent="0.25">
      <c r="A20" s="8"/>
      <c r="B20" s="9"/>
      <c r="C20" s="10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0D4806-D66D-452D-9586-F92A7DA9252D}">
  <dimension ref="A1:AB43"/>
  <sheetViews>
    <sheetView tabSelected="1" topLeftCell="M1" zoomScale="130" zoomScaleNormal="130" workbookViewId="0">
      <selection activeCell="AB1" sqref="AB1"/>
    </sheetView>
  </sheetViews>
  <sheetFormatPr defaultRowHeight="15" x14ac:dyDescent="0.25"/>
  <cols>
    <col min="4" max="4" width="13.140625" customWidth="1"/>
    <col min="6" max="6" width="12.140625" customWidth="1"/>
    <col min="8" max="8" width="11.42578125" customWidth="1"/>
    <col min="10" max="10" width="10.85546875" customWidth="1"/>
    <col min="11" max="11" width="14.42578125" customWidth="1"/>
    <col min="12" max="12" width="12.140625" customWidth="1"/>
    <col min="13" max="13" width="9.7109375" customWidth="1"/>
    <col min="18" max="18" width="10.7109375" customWidth="1"/>
    <col min="19" max="19" width="11" customWidth="1"/>
    <col min="20" max="20" width="12" customWidth="1"/>
    <col min="21" max="21" width="10.28515625" customWidth="1"/>
    <col min="22" max="22" width="15.7109375" customWidth="1"/>
    <col min="23" max="23" width="12.5703125" customWidth="1"/>
    <col min="24" max="24" width="11.28515625" customWidth="1"/>
  </cols>
  <sheetData>
    <row r="1" spans="1:28" ht="30" x14ac:dyDescent="0.25">
      <c r="A1" s="11" t="s">
        <v>99</v>
      </c>
      <c r="B1" s="11" t="s">
        <v>100</v>
      </c>
      <c r="C1" s="1" t="s">
        <v>101</v>
      </c>
      <c r="H1" s="11" t="s">
        <v>57</v>
      </c>
      <c r="I1" s="11" t="s">
        <v>40</v>
      </c>
      <c r="J1" s="11" t="s">
        <v>41</v>
      </c>
      <c r="K1" s="11" t="s">
        <v>42</v>
      </c>
      <c r="L1" s="11" t="s">
        <v>43</v>
      </c>
      <c r="M1" s="11" t="s">
        <v>48</v>
      </c>
      <c r="P1" s="11" t="s">
        <v>23</v>
      </c>
      <c r="Q1" s="11" t="s">
        <v>24</v>
      </c>
      <c r="R1" s="11" t="s">
        <v>25</v>
      </c>
      <c r="S1" s="11" t="s">
        <v>63</v>
      </c>
      <c r="T1" s="11" t="s">
        <v>64</v>
      </c>
      <c r="U1" s="11" t="s">
        <v>26</v>
      </c>
      <c r="V1" s="11" t="s">
        <v>104</v>
      </c>
      <c r="W1" s="13" t="s">
        <v>103</v>
      </c>
      <c r="X1" s="11" t="s">
        <v>102</v>
      </c>
      <c r="Y1" s="11" t="s">
        <v>105</v>
      </c>
      <c r="Z1" s="11" t="s">
        <v>106</v>
      </c>
      <c r="AA1" s="11" t="s">
        <v>107</v>
      </c>
      <c r="AB1" s="11" t="s">
        <v>108</v>
      </c>
    </row>
    <row r="2" spans="1:28" ht="30" x14ac:dyDescent="0.25">
      <c r="A2" s="12" t="s">
        <v>28</v>
      </c>
      <c r="B2" s="12">
        <v>85</v>
      </c>
      <c r="C2" t="str" cm="1">
        <f t="array" ref="C2:C6">IF(B2:B6&gt;=35,"pass","fail")</f>
        <v>pass</v>
      </c>
      <c r="H2" s="12" t="s">
        <v>24</v>
      </c>
      <c r="I2" s="12" t="s">
        <v>49</v>
      </c>
      <c r="J2" s="12" t="s">
        <v>50</v>
      </c>
      <c r="K2" s="12" t="s">
        <v>51</v>
      </c>
      <c r="L2" s="12" t="s">
        <v>58</v>
      </c>
      <c r="M2">
        <f>HLOOKUP(K2,H2:L4,2,FALSE)</f>
        <v>200</v>
      </c>
      <c r="P2" s="12" t="s">
        <v>27</v>
      </c>
      <c r="Q2" s="12" t="s">
        <v>28</v>
      </c>
      <c r="R2" s="12" t="s">
        <v>29</v>
      </c>
      <c r="S2" s="12" t="s">
        <v>65</v>
      </c>
      <c r="T2" s="12">
        <v>2</v>
      </c>
      <c r="U2" s="12">
        <v>30000</v>
      </c>
      <c r="V2" s="12" t="b">
        <f>AND(Table3[[#This Row],[Experience]]&gt;4,Table3[[#This Row],[Salary]]&gt;40000)</f>
        <v>0</v>
      </c>
      <c r="W2" s="12" t="str">
        <f>IF(Table3[[#This Row],[Salary]]&gt;50000,"high","low")</f>
        <v>low</v>
      </c>
      <c r="X2" s="12" t="b">
        <f>OR(Table3[[#This Row],[Salary]]&lt;50000,Table3[[#This Row],[Experience]]&lt;3)</f>
        <v>1</v>
      </c>
      <c r="Y2" s="14" t="b">
        <f>NOT(Table3[[#This Row],[bonus]])</f>
        <v>0</v>
      </c>
      <c r="Z2" s="14" t="b">
        <f>_xlfn.XOR(Table3[[#This Row],[Salary]]&gt;=30000,Table3[[#This Row],[Experience]]&gt;=5)</f>
        <v>1</v>
      </c>
      <c r="AA2" s="14" t="str">
        <f>IF(_xlfn.XOR(Table3[[#This Row],[Salary]]&gt;=30000,Table3[[#This Row],[Experience]]&gt;=5),"Reward","no Reward")</f>
        <v>Reward</v>
      </c>
      <c r="AB2" s="14"/>
    </row>
    <row r="3" spans="1:28" x14ac:dyDescent="0.25">
      <c r="A3" s="12" t="s">
        <v>31</v>
      </c>
      <c r="B3" s="12">
        <v>42</v>
      </c>
      <c r="C3" t="str">
        <v>pass</v>
      </c>
      <c r="H3" s="12" t="s">
        <v>29</v>
      </c>
      <c r="I3" s="12">
        <v>100</v>
      </c>
      <c r="J3" s="12">
        <v>150</v>
      </c>
      <c r="K3" s="12">
        <v>200</v>
      </c>
      <c r="L3" s="12">
        <v>250</v>
      </c>
      <c r="M3">
        <f>HLOOKUP(I2,H2:L4,3,FALSE)</f>
        <v>20</v>
      </c>
      <c r="P3" s="12" t="s">
        <v>30</v>
      </c>
      <c r="Q3" s="12" t="s">
        <v>31</v>
      </c>
      <c r="R3" s="12" t="s">
        <v>32</v>
      </c>
      <c r="S3" s="12" t="s">
        <v>66</v>
      </c>
      <c r="T3" s="12">
        <v>3</v>
      </c>
      <c r="U3" s="12">
        <v>35000</v>
      </c>
      <c r="V3" s="12" t="b">
        <f>AND(Table3[[#This Row],[Experience]]&gt;4,Table3[[#This Row],[Salary]]&gt;40000)</f>
        <v>0</v>
      </c>
      <c r="W3" s="12" t="str">
        <f>IF(Table3[[#This Row],[Salary]]&gt;50000,"high","low")</f>
        <v>low</v>
      </c>
      <c r="X3" s="12" t="b">
        <f>OR(Table3[[#This Row],[Salary]]&lt;50000,Table3[[#This Row],[Experience]]&lt;3)</f>
        <v>1</v>
      </c>
      <c r="Y3" s="14" t="b">
        <f>NOT(Table3[[#This Row],[bonus]])</f>
        <v>0</v>
      </c>
      <c r="Z3" s="14" t="b">
        <f>_xlfn.XOR(Table3[[#This Row],[Salary]]&gt;=30000,Table3[[#This Row],[Experience]]&gt;=5)</f>
        <v>1</v>
      </c>
      <c r="AA3" s="14" t="str">
        <f>IF(_xlfn.XOR(Table3[[#This Row],[Salary]]&gt;=30000,Table3[[#This Row],[Experience]]&gt;=5),"Reward","no Reward")</f>
        <v>Reward</v>
      </c>
      <c r="AB3" s="14"/>
    </row>
    <row r="4" spans="1:28" ht="30" x14ac:dyDescent="0.25">
      <c r="A4" s="12" t="s">
        <v>34</v>
      </c>
      <c r="B4" s="12">
        <v>76</v>
      </c>
      <c r="C4" t="str">
        <v>pass</v>
      </c>
      <c r="H4" s="12" t="s">
        <v>59</v>
      </c>
      <c r="I4" s="12">
        <v>20</v>
      </c>
      <c r="J4" s="12">
        <v>30</v>
      </c>
      <c r="K4" s="12">
        <v>50</v>
      </c>
      <c r="L4" s="12">
        <v>60</v>
      </c>
      <c r="M4">
        <f>HLOOKUP(I1,H1:L4,4,FALSE)</f>
        <v>20</v>
      </c>
      <c r="P4" s="12" t="s">
        <v>33</v>
      </c>
      <c r="Q4" s="12" t="s">
        <v>34</v>
      </c>
      <c r="R4" s="12" t="s">
        <v>35</v>
      </c>
      <c r="S4" s="12" t="s">
        <v>67</v>
      </c>
      <c r="T4" s="12">
        <v>5</v>
      </c>
      <c r="U4" s="12">
        <v>45000</v>
      </c>
      <c r="V4" s="12" t="b">
        <f>AND(Table3[[#This Row],[Experience]]&gt;4,Table3[[#This Row],[Salary]]&gt;40000)</f>
        <v>1</v>
      </c>
      <c r="W4" s="12" t="str">
        <f>IF(Table3[[#This Row],[Salary]]&gt;50000,"high","low")</f>
        <v>low</v>
      </c>
      <c r="X4" s="12" t="b">
        <f>OR(Table3[[#This Row],[Salary]]&lt;50000,Table3[[#This Row],[Experience]]&lt;3)</f>
        <v>1</v>
      </c>
      <c r="Y4" s="14" t="b">
        <f>NOT(Table3[[#This Row],[bonus]])</f>
        <v>0</v>
      </c>
      <c r="Z4" s="14" t="b">
        <f>_xlfn.XOR(Table3[[#This Row],[Salary]]&gt;=30000,Table3[[#This Row],[Experience]]&gt;=5)</f>
        <v>0</v>
      </c>
      <c r="AA4" s="14" t="str">
        <f>IF(_xlfn.XOR(Table3[[#This Row],[Salary]]&gt;=30000,Table3[[#This Row],[Experience]]&gt;=5),"Reward","no Reward")</f>
        <v>no Reward</v>
      </c>
      <c r="AB4" s="14"/>
    </row>
    <row r="5" spans="1:28" x14ac:dyDescent="0.25">
      <c r="A5" s="12" t="s">
        <v>37</v>
      </c>
      <c r="B5" s="12">
        <v>28</v>
      </c>
      <c r="C5" t="str">
        <v>fail</v>
      </c>
      <c r="P5" s="12" t="s">
        <v>36</v>
      </c>
      <c r="Q5" s="12" t="s">
        <v>37</v>
      </c>
      <c r="R5" s="12" t="s">
        <v>38</v>
      </c>
      <c r="S5" s="12" t="s">
        <v>65</v>
      </c>
      <c r="T5" s="12">
        <v>4</v>
      </c>
      <c r="U5" s="12">
        <v>40000</v>
      </c>
      <c r="V5" s="12" t="b">
        <f>AND(Table3[[#This Row],[Experience]]&gt;4,Table3[[#This Row],[Salary]]&gt;40000)</f>
        <v>0</v>
      </c>
      <c r="W5" s="12" t="str">
        <f>IF(Table3[[#This Row],[Salary]]&gt;50000,"high","low")</f>
        <v>low</v>
      </c>
      <c r="X5" s="12" t="b">
        <f>OR(Table3[[#This Row],[Salary]]&lt;50000,Table3[[#This Row],[Experience]]&lt;3)</f>
        <v>1</v>
      </c>
      <c r="Y5" s="14" t="b">
        <f>NOT(Table3[[#This Row],[bonus]])</f>
        <v>0</v>
      </c>
      <c r="Z5" s="14" t="b">
        <f>_xlfn.XOR(Table3[[#This Row],[Salary]]&gt;=30000,Table3[[#This Row],[Experience]]&gt;=5)</f>
        <v>1</v>
      </c>
      <c r="AA5" s="14" t="str">
        <f>IF(_xlfn.XOR(Table3[[#This Row],[Salary]]&gt;=30000,Table3[[#This Row],[Experience]]&gt;=5),"Reward","no Reward")</f>
        <v>Reward</v>
      </c>
      <c r="AB5" s="14"/>
    </row>
    <row r="6" spans="1:28" x14ac:dyDescent="0.25">
      <c r="A6" s="12" t="s">
        <v>54</v>
      </c>
      <c r="B6" s="12">
        <v>35</v>
      </c>
      <c r="C6" t="str">
        <v>pass</v>
      </c>
      <c r="P6" s="12" t="s">
        <v>53</v>
      </c>
      <c r="Q6" s="12" t="s">
        <v>54</v>
      </c>
      <c r="R6" s="12" t="s">
        <v>55</v>
      </c>
      <c r="S6" s="12" t="s">
        <v>68</v>
      </c>
      <c r="T6" s="12">
        <v>3</v>
      </c>
      <c r="U6" s="12">
        <v>38000</v>
      </c>
      <c r="V6" s="12" t="b">
        <f>AND(Table3[[#This Row],[Experience]]&gt;4,Table3[[#This Row],[Salary]]&gt;40000)</f>
        <v>0</v>
      </c>
      <c r="W6" s="12" t="str">
        <f>IF(Table3[[#This Row],[Salary]]&gt;50000,"high","low")</f>
        <v>low</v>
      </c>
      <c r="X6" s="12" t="b">
        <f>OR(Table3[[#This Row],[Salary]]&lt;50000,Table3[[#This Row],[Experience]]&lt;3)</f>
        <v>1</v>
      </c>
      <c r="Y6" s="14" t="b">
        <f>NOT(Table3[[#This Row],[bonus]])</f>
        <v>0</v>
      </c>
      <c r="Z6" s="14" t="b">
        <f>_xlfn.XOR(Table3[[#This Row],[Salary]]&gt;=30000,Table3[[#This Row],[Experience]]&gt;=5)</f>
        <v>1</v>
      </c>
      <c r="AA6" s="14" t="str">
        <f>IF(_xlfn.XOR(Table3[[#This Row],[Salary]]&gt;=30000,Table3[[#This Row],[Experience]]&gt;=5),"Reward","no Reward")</f>
        <v>Reward</v>
      </c>
      <c r="AB6" s="14"/>
    </row>
    <row r="7" spans="1:28" ht="30" x14ac:dyDescent="0.25">
      <c r="P7" s="12" t="s">
        <v>69</v>
      </c>
      <c r="Q7" s="12" t="s">
        <v>70</v>
      </c>
      <c r="R7" s="12" t="s">
        <v>35</v>
      </c>
      <c r="S7" s="12" t="s">
        <v>66</v>
      </c>
      <c r="T7" s="12">
        <v>6</v>
      </c>
      <c r="U7" s="12">
        <v>55000</v>
      </c>
      <c r="V7" s="12" t="b">
        <f>AND(Table3[[#This Row],[Experience]]&gt;4,Table3[[#This Row],[Salary]]&gt;40000)</f>
        <v>1</v>
      </c>
      <c r="W7" s="12" t="str">
        <f>IF(Table3[[#This Row],[Salary]]&gt;50000,"high","low")</f>
        <v>high</v>
      </c>
      <c r="X7" s="12" t="b">
        <f>OR(Table3[[#This Row],[Salary]]&lt;50000,Table3[[#This Row],[Experience]]&lt;3)</f>
        <v>0</v>
      </c>
      <c r="Y7" s="14" t="b">
        <f>NOT(Table3[[#This Row],[bonus]])</f>
        <v>1</v>
      </c>
      <c r="Z7" s="14" t="b">
        <f>_xlfn.XOR(Table3[[#This Row],[Salary]]&gt;=30000,Table3[[#This Row],[Experience]]&gt;=5)</f>
        <v>0</v>
      </c>
      <c r="AA7" s="14" t="str">
        <f>IF(_xlfn.XOR(Table3[[#This Row],[Salary]]&gt;=30000,Table3[[#This Row],[Experience]]&gt;=5),"Reward","no Reward")</f>
        <v>no Reward</v>
      </c>
      <c r="AB7" s="14"/>
    </row>
    <row r="8" spans="1:28" x14ac:dyDescent="0.25">
      <c r="P8" s="12" t="s">
        <v>71</v>
      </c>
      <c r="Q8" s="12" t="s">
        <v>72</v>
      </c>
      <c r="R8" s="12" t="s">
        <v>29</v>
      </c>
      <c r="S8" s="12" t="s">
        <v>67</v>
      </c>
      <c r="T8" s="12">
        <v>2</v>
      </c>
      <c r="U8" s="12">
        <v>32000</v>
      </c>
      <c r="V8" s="12" t="b">
        <f>AND(Table3[[#This Row],[Experience]]&gt;4,Table3[[#This Row],[Salary]]&gt;40000)</f>
        <v>0</v>
      </c>
      <c r="W8" s="12" t="str">
        <f>IF(Table3[[#This Row],[Salary]]&gt;50000,"high","low")</f>
        <v>low</v>
      </c>
      <c r="X8" s="12" t="b">
        <f>OR(Table3[[#This Row],[Salary]]&lt;50000,Table3[[#This Row],[Experience]]&lt;3)</f>
        <v>1</v>
      </c>
      <c r="Y8" s="14" t="b">
        <f>NOT(Table3[[#This Row],[bonus]])</f>
        <v>0</v>
      </c>
      <c r="Z8" s="14" t="b">
        <f>_xlfn.XOR(Table3[[#This Row],[Salary]]&gt;=30000,Table3[[#This Row],[Experience]]&gt;=5)</f>
        <v>1</v>
      </c>
      <c r="AA8" s="14" t="str">
        <f>IF(_xlfn.XOR(Table3[[#This Row],[Salary]]&gt;=30000,Table3[[#This Row],[Experience]]&gt;=5),"Reward","no Reward")</f>
        <v>Reward</v>
      </c>
      <c r="AB8" s="14"/>
    </row>
    <row r="9" spans="1:28" ht="30" x14ac:dyDescent="0.25">
      <c r="A9" s="11" t="s">
        <v>23</v>
      </c>
      <c r="B9" s="11" t="s">
        <v>24</v>
      </c>
      <c r="C9" s="11" t="s">
        <v>25</v>
      </c>
      <c r="D9" s="11" t="s">
        <v>26</v>
      </c>
      <c r="E9" s="11" t="s">
        <v>56</v>
      </c>
      <c r="F9" s="11" t="s">
        <v>60</v>
      </c>
      <c r="G9" s="1" t="s">
        <v>61</v>
      </c>
      <c r="H9" s="1" t="s">
        <v>62</v>
      </c>
      <c r="P9" s="12" t="s">
        <v>73</v>
      </c>
      <c r="Q9" s="12" t="s">
        <v>74</v>
      </c>
      <c r="R9" s="12" t="s">
        <v>32</v>
      </c>
      <c r="S9" s="12" t="s">
        <v>68</v>
      </c>
      <c r="T9" s="12">
        <v>5</v>
      </c>
      <c r="U9" s="12">
        <v>42000</v>
      </c>
      <c r="V9" s="12" t="b">
        <f>AND(Table3[[#This Row],[Experience]]&gt;4,Table3[[#This Row],[Salary]]&gt;40000)</f>
        <v>1</v>
      </c>
      <c r="W9" s="12" t="str">
        <f>IF(Table3[[#This Row],[Salary]]&gt;50000,"high","low")</f>
        <v>low</v>
      </c>
      <c r="X9" s="12" t="b">
        <f>OR(Table3[[#This Row],[Salary]]&lt;50000,Table3[[#This Row],[Experience]]&lt;3)</f>
        <v>1</v>
      </c>
      <c r="Y9" s="14" t="b">
        <f>NOT(Table3[[#This Row],[bonus]])</f>
        <v>0</v>
      </c>
      <c r="Z9" s="14" t="b">
        <f>_xlfn.XOR(Table3[[#This Row],[Salary]]&gt;=30000,Table3[[#This Row],[Experience]]&gt;=5)</f>
        <v>0</v>
      </c>
      <c r="AA9" s="14" t="str">
        <f>IF(_xlfn.XOR(Table3[[#This Row],[Salary]]&gt;=30000,Table3[[#This Row],[Experience]]&gt;=5),"Reward","no Reward")</f>
        <v>no Reward</v>
      </c>
      <c r="AB9" s="14"/>
    </row>
    <row r="10" spans="1:28" ht="30" x14ac:dyDescent="0.25">
      <c r="A10" s="12" t="s">
        <v>27</v>
      </c>
      <c r="B10" s="12" t="s">
        <v>28</v>
      </c>
      <c r="C10" s="12" t="s">
        <v>29</v>
      </c>
      <c r="D10" s="12">
        <v>30000</v>
      </c>
      <c r="E10">
        <f>VLOOKUP(A12,A9:D14,4,FALSE)</f>
        <v>45000</v>
      </c>
      <c r="F10" t="str">
        <f>_xlfn.XLOOKUP(B10,B9:B14,A9:A14)</f>
        <v>E101</v>
      </c>
      <c r="G10">
        <f>MATCH(A12,A9:A14,0)</f>
        <v>4</v>
      </c>
      <c r="H10" t="str">
        <f>INDEX(C9:C14,5)</f>
        <v>Finance</v>
      </c>
      <c r="P10" s="12" t="s">
        <v>75</v>
      </c>
      <c r="Q10" s="12" t="s">
        <v>76</v>
      </c>
      <c r="R10" s="12" t="s">
        <v>35</v>
      </c>
      <c r="S10" s="12" t="s">
        <v>65</v>
      </c>
      <c r="T10" s="12">
        <v>7</v>
      </c>
      <c r="U10" s="12">
        <v>60000</v>
      </c>
      <c r="V10" s="12" t="b">
        <f>AND(Table3[[#This Row],[Experience]]&gt;4,Table3[[#This Row],[Salary]]&gt;40000)</f>
        <v>1</v>
      </c>
      <c r="W10" s="12" t="str">
        <f>IF(Table3[[#This Row],[Salary]]&gt;50000,"high","low")</f>
        <v>high</v>
      </c>
      <c r="X10" s="12" t="b">
        <f>OR(Table3[[#This Row],[Salary]]&lt;50000,Table3[[#This Row],[Experience]]&lt;3)</f>
        <v>0</v>
      </c>
      <c r="Y10" s="14" t="b">
        <f>NOT(Table3[[#This Row],[bonus]])</f>
        <v>1</v>
      </c>
      <c r="Z10" s="14" t="b">
        <f>_xlfn.XOR(Table3[[#This Row],[Salary]]&gt;=30000,Table3[[#This Row],[Experience]]&gt;=5)</f>
        <v>0</v>
      </c>
      <c r="AA10" s="14" t="str">
        <f>IF(_xlfn.XOR(Table3[[#This Row],[Salary]]&gt;=30000,Table3[[#This Row],[Experience]]&gt;=5),"Reward","no Reward")</f>
        <v>no Reward</v>
      </c>
      <c r="AB10" s="14"/>
    </row>
    <row r="11" spans="1:28" x14ac:dyDescent="0.25">
      <c r="A11" s="12" t="s">
        <v>30</v>
      </c>
      <c r="B11" s="12" t="s">
        <v>31</v>
      </c>
      <c r="C11" s="12" t="s">
        <v>32</v>
      </c>
      <c r="D11" s="12">
        <v>35000</v>
      </c>
      <c r="E11" t="str">
        <f>VLOOKUP(A14,A9:D14,3,FALSE)</f>
        <v>Marketing</v>
      </c>
      <c r="F11" t="str">
        <f>_xlfn.XLOOKUP(D12,D9:D14,B9:B14)</f>
        <v>Kiran</v>
      </c>
      <c r="G11">
        <f>MATCH(A10,A10:A14,0)</f>
        <v>1</v>
      </c>
      <c r="J11" s="1" t="s">
        <v>0</v>
      </c>
      <c r="K11" s="1" t="s">
        <v>1</v>
      </c>
      <c r="L11" s="1" t="s">
        <v>2</v>
      </c>
      <c r="P11" s="12" t="s">
        <v>77</v>
      </c>
      <c r="Q11" s="12" t="s">
        <v>78</v>
      </c>
      <c r="R11" s="12" t="s">
        <v>38</v>
      </c>
      <c r="S11" s="12" t="s">
        <v>66</v>
      </c>
      <c r="T11" s="12">
        <v>4</v>
      </c>
      <c r="U11" s="12">
        <v>41000</v>
      </c>
      <c r="V11" s="12" t="b">
        <f>AND(Table3[[#This Row],[Experience]]&gt;4,Table3[[#This Row],[Salary]]&gt;40000)</f>
        <v>0</v>
      </c>
      <c r="W11" s="12" t="str">
        <f>IF(Table3[[#This Row],[Salary]]&gt;50000,"high","low")</f>
        <v>low</v>
      </c>
      <c r="X11" s="12" t="b">
        <f>OR(Table3[[#This Row],[Salary]]&lt;50000,Table3[[#This Row],[Experience]]&lt;3)</f>
        <v>1</v>
      </c>
      <c r="Y11" s="14" t="b">
        <f>NOT(Table3[[#This Row],[bonus]])</f>
        <v>0</v>
      </c>
      <c r="Z11" s="14" t="b">
        <f>_xlfn.XOR(Table3[[#This Row],[Salary]]&gt;=30000,Table3[[#This Row],[Experience]]&gt;=5)</f>
        <v>1</v>
      </c>
      <c r="AA11" s="14" t="str">
        <f>IF(_xlfn.XOR(Table3[[#This Row],[Salary]]&gt;=30000,Table3[[#This Row],[Experience]]&gt;=5),"Reward","no Reward")</f>
        <v>Reward</v>
      </c>
      <c r="AB11" s="14"/>
    </row>
    <row r="12" spans="1:28" x14ac:dyDescent="0.25">
      <c r="A12" s="12" t="s">
        <v>33</v>
      </c>
      <c r="B12" s="12" t="s">
        <v>34</v>
      </c>
      <c r="C12" s="12" t="s">
        <v>35</v>
      </c>
      <c r="D12" s="12">
        <v>45000</v>
      </c>
      <c r="E12" t="str">
        <f>VLOOKUP(A11,A9:D14,2,FALSE)</f>
        <v>Priya</v>
      </c>
      <c r="F12" t="str">
        <f>_xlfn.XLOOKUP(B13,B9:B14,C9:C14)</f>
        <v>Finance</v>
      </c>
      <c r="G12">
        <f>MATCH(D12,D10:D14,0)</f>
        <v>3</v>
      </c>
      <c r="J12" t="s">
        <v>3</v>
      </c>
      <c r="K12" t="s">
        <v>10</v>
      </c>
      <c r="L12">
        <v>1000</v>
      </c>
      <c r="P12" s="12" t="s">
        <v>79</v>
      </c>
      <c r="Q12" s="12" t="s">
        <v>80</v>
      </c>
      <c r="R12" s="12" t="s">
        <v>55</v>
      </c>
      <c r="S12" s="12" t="s">
        <v>67</v>
      </c>
      <c r="T12" s="12">
        <v>3</v>
      </c>
      <c r="U12" s="12">
        <v>37000</v>
      </c>
      <c r="V12" s="12" t="b">
        <f>AND(Table3[[#This Row],[Experience]]&gt;4,Table3[[#This Row],[Salary]]&gt;40000)</f>
        <v>0</v>
      </c>
      <c r="W12" s="12" t="str">
        <f>IF(Table3[[#This Row],[Salary]]&gt;50000,"high","low")</f>
        <v>low</v>
      </c>
      <c r="X12" s="12" t="b">
        <f>OR(Table3[[#This Row],[Salary]]&lt;50000,Table3[[#This Row],[Experience]]&lt;3)</f>
        <v>1</v>
      </c>
      <c r="Y12" s="14" t="b">
        <f>NOT(Table3[[#This Row],[bonus]])</f>
        <v>0</v>
      </c>
      <c r="Z12" s="14" t="b">
        <f>_xlfn.XOR(Table3[[#This Row],[Salary]]&gt;=30000,Table3[[#This Row],[Experience]]&gt;=5)</f>
        <v>1</v>
      </c>
      <c r="AA12" s="14" t="str">
        <f>IF(_xlfn.XOR(Table3[[#This Row],[Salary]]&gt;=30000,Table3[[#This Row],[Experience]]&gt;=5),"Reward","no Reward")</f>
        <v>Reward</v>
      </c>
      <c r="AB12" s="14"/>
    </row>
    <row r="13" spans="1:28" ht="30" x14ac:dyDescent="0.25">
      <c r="A13" s="12" t="s">
        <v>36</v>
      </c>
      <c r="B13" s="12" t="s">
        <v>37</v>
      </c>
      <c r="C13" s="12" t="s">
        <v>38</v>
      </c>
      <c r="D13" s="12">
        <v>40000</v>
      </c>
      <c r="G13">
        <f>MATCH(C10,C10:C14,0)</f>
        <v>1</v>
      </c>
      <c r="J13" t="s">
        <v>4</v>
      </c>
      <c r="K13" t="s">
        <v>11</v>
      </c>
      <c r="L13">
        <v>50000</v>
      </c>
      <c r="P13" s="12" t="s">
        <v>81</v>
      </c>
      <c r="Q13" s="12" t="s">
        <v>82</v>
      </c>
      <c r="R13" s="12" t="s">
        <v>35</v>
      </c>
      <c r="S13" s="12" t="s">
        <v>68</v>
      </c>
      <c r="T13" s="12">
        <v>8</v>
      </c>
      <c r="U13" s="12">
        <v>65000</v>
      </c>
      <c r="V13" s="12" t="b">
        <f>AND(Table3[[#This Row],[Experience]]&gt;4,Table3[[#This Row],[Salary]]&gt;40000)</f>
        <v>1</v>
      </c>
      <c r="W13" s="12" t="str">
        <f>IF(Table3[[#This Row],[Salary]]&gt;50000,"high","low")</f>
        <v>high</v>
      </c>
      <c r="X13" s="12" t="b">
        <f>OR(Table3[[#This Row],[Salary]]&lt;50000,Table3[[#This Row],[Experience]]&lt;3)</f>
        <v>0</v>
      </c>
      <c r="Y13" s="14" t="b">
        <f>NOT(Table3[[#This Row],[bonus]])</f>
        <v>1</v>
      </c>
      <c r="Z13" s="14" t="b">
        <f>_xlfn.XOR(Table3[[#This Row],[Salary]]&gt;=30000,Table3[[#This Row],[Experience]]&gt;=5)</f>
        <v>0</v>
      </c>
      <c r="AA13" s="14" t="str">
        <f>IF(_xlfn.XOR(Table3[[#This Row],[Salary]]&gt;=30000,Table3[[#This Row],[Experience]]&gt;=5),"Reward","no Reward")</f>
        <v>no Reward</v>
      </c>
      <c r="AB13" s="14"/>
    </row>
    <row r="14" spans="1:28" ht="30" x14ac:dyDescent="0.25">
      <c r="A14" s="12" t="s">
        <v>53</v>
      </c>
      <c r="B14" s="12" t="s">
        <v>54</v>
      </c>
      <c r="C14" s="12" t="s">
        <v>55</v>
      </c>
      <c r="D14" s="12">
        <v>38000</v>
      </c>
      <c r="J14" t="s">
        <v>5</v>
      </c>
      <c r="K14" t="s">
        <v>12</v>
      </c>
      <c r="L14">
        <v>10000</v>
      </c>
      <c r="P14" s="12" t="s">
        <v>83</v>
      </c>
      <c r="Q14" s="12" t="s">
        <v>84</v>
      </c>
      <c r="R14" s="12" t="s">
        <v>29</v>
      </c>
      <c r="S14" s="12" t="s">
        <v>65</v>
      </c>
      <c r="T14" s="12">
        <v>1</v>
      </c>
      <c r="U14" s="12">
        <v>28000</v>
      </c>
      <c r="V14" s="12" t="b">
        <f>AND(Table3[[#This Row],[Experience]]&gt;4,Table3[[#This Row],[Salary]]&gt;40000)</f>
        <v>0</v>
      </c>
      <c r="W14" s="12" t="str">
        <f>IF(Table3[[#This Row],[Salary]]&gt;50000,"high","low")</f>
        <v>low</v>
      </c>
      <c r="X14" s="12" t="b">
        <f>OR(Table3[[#This Row],[Salary]]&lt;50000,Table3[[#This Row],[Experience]]&lt;3)</f>
        <v>1</v>
      </c>
      <c r="Y14" s="14" t="b">
        <f>NOT(Table3[[#This Row],[bonus]])</f>
        <v>0</v>
      </c>
      <c r="Z14" s="14" t="b">
        <f>_xlfn.XOR(Table3[[#This Row],[Salary]]&gt;=30000,Table3[[#This Row],[Experience]]&gt;=5)</f>
        <v>0</v>
      </c>
      <c r="AA14" s="14" t="str">
        <f>IF(_xlfn.XOR(Table3[[#This Row],[Salary]]&gt;=30000,Table3[[#This Row],[Experience]]&gt;=5),"Reward","no Reward")</f>
        <v>no Reward</v>
      </c>
      <c r="AB14" s="14"/>
    </row>
    <row r="15" spans="1:28" x14ac:dyDescent="0.25">
      <c r="J15" t="s">
        <v>6</v>
      </c>
      <c r="K15" t="s">
        <v>13</v>
      </c>
      <c r="L15">
        <v>20000</v>
      </c>
      <c r="P15" s="12" t="s">
        <v>85</v>
      </c>
      <c r="Q15" s="12" t="s">
        <v>86</v>
      </c>
      <c r="R15" s="12" t="s">
        <v>32</v>
      </c>
      <c r="S15" s="12" t="s">
        <v>67</v>
      </c>
      <c r="T15" s="12">
        <v>2</v>
      </c>
      <c r="U15" s="12">
        <v>33000</v>
      </c>
      <c r="V15" s="12" t="b">
        <f>AND(Table3[[#This Row],[Experience]]&gt;4,Table3[[#This Row],[Salary]]&gt;40000)</f>
        <v>0</v>
      </c>
      <c r="W15" s="12" t="str">
        <f>IF(Table3[[#This Row],[Salary]]&gt;50000,"high","low")</f>
        <v>low</v>
      </c>
      <c r="X15" s="12" t="b">
        <f>OR(Table3[[#This Row],[Salary]]&lt;50000,Table3[[#This Row],[Experience]]&lt;3)</f>
        <v>1</v>
      </c>
      <c r="Y15" s="14" t="b">
        <f>NOT(Table3[[#This Row],[bonus]])</f>
        <v>0</v>
      </c>
      <c r="Z15" s="14" t="b">
        <f>_xlfn.XOR(Table3[[#This Row],[Salary]]&gt;=30000,Table3[[#This Row],[Experience]]&gt;=5)</f>
        <v>1</v>
      </c>
      <c r="AA15" s="14" t="str">
        <f>IF(_xlfn.XOR(Table3[[#This Row],[Salary]]&gt;=30000,Table3[[#This Row],[Experience]]&gt;=5),"Reward","no Reward")</f>
        <v>Reward</v>
      </c>
      <c r="AB15" s="14"/>
    </row>
    <row r="16" spans="1:28" ht="30" x14ac:dyDescent="0.25">
      <c r="J16" t="s">
        <v>7</v>
      </c>
      <c r="K16" t="s">
        <v>14</v>
      </c>
      <c r="L16">
        <v>100000</v>
      </c>
      <c r="P16" s="12" t="s">
        <v>87</v>
      </c>
      <c r="Q16" s="12" t="s">
        <v>88</v>
      </c>
      <c r="R16" s="12" t="s">
        <v>38</v>
      </c>
      <c r="S16" s="12" t="s">
        <v>68</v>
      </c>
      <c r="T16" s="12">
        <v>6</v>
      </c>
      <c r="U16" s="12">
        <v>50000</v>
      </c>
      <c r="V16" s="12" t="b">
        <f>AND(Table3[[#This Row],[Experience]]&gt;4,Table3[[#This Row],[Salary]]&gt;40000)</f>
        <v>1</v>
      </c>
      <c r="W16" s="12" t="str">
        <f>IF(Table3[[#This Row],[Salary]]&gt;50000,"high","low")</f>
        <v>low</v>
      </c>
      <c r="X16" s="12" t="b">
        <f>OR(Table3[[#This Row],[Salary]]&lt;50000,Table3[[#This Row],[Experience]]&lt;3)</f>
        <v>0</v>
      </c>
      <c r="Y16" s="14" t="b">
        <f>NOT(Table3[[#This Row],[bonus]])</f>
        <v>1</v>
      </c>
      <c r="Z16" s="14" t="b">
        <f>_xlfn.XOR(Table3[[#This Row],[Salary]]&gt;=30000,Table3[[#This Row],[Experience]]&gt;=5)</f>
        <v>0</v>
      </c>
      <c r="AA16" s="14" t="str">
        <f>IF(_xlfn.XOR(Table3[[#This Row],[Salary]]&gt;=30000,Table3[[#This Row],[Experience]]&gt;=5),"Reward","no Reward")</f>
        <v>no Reward</v>
      </c>
      <c r="AB16" s="14"/>
    </row>
    <row r="17" spans="1:28" ht="30" x14ac:dyDescent="0.25">
      <c r="J17" t="s">
        <v>8</v>
      </c>
      <c r="K17" t="s">
        <v>15</v>
      </c>
      <c r="L17">
        <v>50000</v>
      </c>
      <c r="P17" s="12" t="s">
        <v>89</v>
      </c>
      <c r="Q17" s="12" t="s">
        <v>90</v>
      </c>
      <c r="R17" s="12" t="s">
        <v>35</v>
      </c>
      <c r="S17" s="12" t="s">
        <v>66</v>
      </c>
      <c r="T17" s="12">
        <v>5</v>
      </c>
      <c r="U17" s="12">
        <v>53000</v>
      </c>
      <c r="V17" s="12" t="b">
        <f>AND(Table3[[#This Row],[Experience]]&gt;4,Table3[[#This Row],[Salary]]&gt;40000)</f>
        <v>1</v>
      </c>
      <c r="W17" s="12" t="str">
        <f>IF(Table3[[#This Row],[Salary]]&gt;50000,"high","low")</f>
        <v>high</v>
      </c>
      <c r="X17" s="12" t="b">
        <f>OR(Table3[[#This Row],[Salary]]&lt;50000,Table3[[#This Row],[Experience]]&lt;3)</f>
        <v>0</v>
      </c>
      <c r="Y17" s="14" t="b">
        <f>NOT(Table3[[#This Row],[bonus]])</f>
        <v>1</v>
      </c>
      <c r="Z17" s="14" t="b">
        <f>_xlfn.XOR(Table3[[#This Row],[Salary]]&gt;=30000,Table3[[#This Row],[Experience]]&gt;=5)</f>
        <v>0</v>
      </c>
      <c r="AA17" s="14" t="str">
        <f>IF(_xlfn.XOR(Table3[[#This Row],[Salary]]&gt;=30000,Table3[[#This Row],[Experience]]&gt;=5),"Reward","no Reward")</f>
        <v>no Reward</v>
      </c>
      <c r="AB17" s="14"/>
    </row>
    <row r="18" spans="1:28" x14ac:dyDescent="0.25">
      <c r="J18" t="s">
        <v>9</v>
      </c>
      <c r="K18" t="s">
        <v>13</v>
      </c>
      <c r="L18">
        <v>20000</v>
      </c>
      <c r="P18" s="12" t="s">
        <v>91</v>
      </c>
      <c r="Q18" s="12" t="s">
        <v>92</v>
      </c>
      <c r="R18" s="12" t="s">
        <v>55</v>
      </c>
      <c r="S18" s="12" t="s">
        <v>65</v>
      </c>
      <c r="T18" s="12">
        <v>4</v>
      </c>
      <c r="U18" s="12">
        <v>39000</v>
      </c>
      <c r="V18" s="12" t="b">
        <f>AND(Table3[[#This Row],[Experience]]&gt;4,Table3[[#This Row],[Salary]]&gt;40000)</f>
        <v>0</v>
      </c>
      <c r="W18" s="12" t="str">
        <f>IF(Table3[[#This Row],[Salary]]&gt;50000,"high","low")</f>
        <v>low</v>
      </c>
      <c r="X18" s="12" t="b">
        <f>OR(Table3[[#This Row],[Salary]]&lt;50000,Table3[[#This Row],[Experience]]&lt;3)</f>
        <v>1</v>
      </c>
      <c r="Y18" s="14" t="b">
        <f>NOT(Table3[[#This Row],[bonus]])</f>
        <v>0</v>
      </c>
      <c r="Z18" s="14" t="b">
        <f>_xlfn.XOR(Table3[[#This Row],[Salary]]&gt;=30000,Table3[[#This Row],[Experience]]&gt;=5)</f>
        <v>1</v>
      </c>
      <c r="AA18" s="14" t="str">
        <f>IF(_xlfn.XOR(Table3[[#This Row],[Salary]]&gt;=30000,Table3[[#This Row],[Experience]]&gt;=5),"Reward","no Reward")</f>
        <v>Reward</v>
      </c>
      <c r="AB18" s="14"/>
    </row>
    <row r="19" spans="1:28" ht="30" x14ac:dyDescent="0.25">
      <c r="P19" s="12" t="s">
        <v>93</v>
      </c>
      <c r="Q19" s="12" t="s">
        <v>94</v>
      </c>
      <c r="R19" s="12" t="s">
        <v>29</v>
      </c>
      <c r="S19" s="12" t="s">
        <v>68</v>
      </c>
      <c r="T19" s="12">
        <v>7</v>
      </c>
      <c r="U19" s="12">
        <v>47000</v>
      </c>
      <c r="V19" s="12" t="b">
        <f>AND(Table3[[#This Row],[Experience]]&gt;4,Table3[[#This Row],[Salary]]&gt;40000)</f>
        <v>1</v>
      </c>
      <c r="W19" s="12" t="str">
        <f>IF(Table3[[#This Row],[Salary]]&gt;50000,"high","low")</f>
        <v>low</v>
      </c>
      <c r="X19" s="12" t="b">
        <f>OR(Table3[[#This Row],[Salary]]&lt;50000,Table3[[#This Row],[Experience]]&lt;3)</f>
        <v>1</v>
      </c>
      <c r="Y19" s="14" t="b">
        <f>NOT(Table3[[#This Row],[bonus]])</f>
        <v>0</v>
      </c>
      <c r="Z19" s="14" t="b">
        <f>_xlfn.XOR(Table3[[#This Row],[Salary]]&gt;=30000,Table3[[#This Row],[Experience]]&gt;=5)</f>
        <v>0</v>
      </c>
      <c r="AA19" s="14" t="str">
        <f>IF(_xlfn.XOR(Table3[[#This Row],[Salary]]&gt;=30000,Table3[[#This Row],[Experience]]&gt;=5),"Reward","no Reward")</f>
        <v>no Reward</v>
      </c>
      <c r="AB19" s="14"/>
    </row>
    <row r="20" spans="1:28" x14ac:dyDescent="0.25">
      <c r="P20" s="12" t="s">
        <v>95</v>
      </c>
      <c r="Q20" s="12" t="s">
        <v>96</v>
      </c>
      <c r="R20" s="12" t="s">
        <v>32</v>
      </c>
      <c r="S20" s="12" t="s">
        <v>66</v>
      </c>
      <c r="T20" s="12">
        <v>3</v>
      </c>
      <c r="U20" s="12">
        <v>36000</v>
      </c>
      <c r="V20" s="12" t="b">
        <f>AND(Table3[[#This Row],[Experience]]&gt;4,Table3[[#This Row],[Salary]]&gt;40000)</f>
        <v>0</v>
      </c>
      <c r="W20" s="12" t="str">
        <f>IF(Table3[[#This Row],[Salary]]&gt;50000,"high","low")</f>
        <v>low</v>
      </c>
      <c r="X20" s="12" t="b">
        <f>OR(Table3[[#This Row],[Salary]]&lt;50000,Table3[[#This Row],[Experience]]&lt;3)</f>
        <v>1</v>
      </c>
      <c r="Y20" s="14" t="b">
        <f>NOT(Table3[[#This Row],[bonus]])</f>
        <v>0</v>
      </c>
      <c r="Z20" s="14" t="b">
        <f>_xlfn.XOR(Table3[[#This Row],[Salary]]&gt;=30000,Table3[[#This Row],[Experience]]&gt;=5)</f>
        <v>1</v>
      </c>
      <c r="AA20" s="14" t="str">
        <f>IF(_xlfn.XOR(Table3[[#This Row],[Salary]]&gt;=30000,Table3[[#This Row],[Experience]]&gt;=5),"Reward","no Reward")</f>
        <v>Reward</v>
      </c>
      <c r="AB20" s="14"/>
    </row>
    <row r="21" spans="1:28" ht="30" x14ac:dyDescent="0.25">
      <c r="P21" s="12" t="s">
        <v>97</v>
      </c>
      <c r="Q21" s="12" t="s">
        <v>98</v>
      </c>
      <c r="R21" s="12" t="s">
        <v>35</v>
      </c>
      <c r="S21" s="12" t="s">
        <v>67</v>
      </c>
      <c r="T21" s="12">
        <v>9</v>
      </c>
      <c r="U21" s="12">
        <v>70000</v>
      </c>
      <c r="V21" s="12" t="b">
        <f>AND(Table3[[#This Row],[Experience]]&gt;4,Table3[[#This Row],[Salary]]&gt;40000)</f>
        <v>1</v>
      </c>
      <c r="W21" s="12" t="str">
        <f>IF(Table3[[#This Row],[Salary]]&gt;50000,"high","low")</f>
        <v>high</v>
      </c>
      <c r="X21" s="12" t="b">
        <f>OR(Table3[[#This Row],[Salary]]&lt;50000,Table3[[#This Row],[Experience]]&lt;3)</f>
        <v>0</v>
      </c>
      <c r="Y21" s="14" t="b">
        <f>NOT(Table3[[#This Row],[bonus]])</f>
        <v>1</v>
      </c>
      <c r="Z21" s="14" t="b">
        <f>_xlfn.XOR(Table3[[#This Row],[Salary]]&gt;=30000,Table3[[#This Row],[Experience]]&gt;=5)</f>
        <v>0</v>
      </c>
      <c r="AA21" s="14" t="str">
        <f>IF(_xlfn.XOR(Table3[[#This Row],[Salary]]&gt;=30000,Table3[[#This Row],[Experience]]&gt;=5),"Reward","no Reward")</f>
        <v>no Reward</v>
      </c>
      <c r="AB21" s="14"/>
    </row>
    <row r="22" spans="1:28" x14ac:dyDescent="0.25">
      <c r="J22" s="1" t="s">
        <v>60</v>
      </c>
      <c r="K22" t="s">
        <v>56</v>
      </c>
    </row>
    <row r="23" spans="1:28" x14ac:dyDescent="0.25">
      <c r="K23">
        <f>VLOOKUP(K14,K12:L18,2,FALSE)</f>
        <v>10000</v>
      </c>
      <c r="P23" s="11" t="s">
        <v>99</v>
      </c>
      <c r="Q23" s="11" t="s">
        <v>100</v>
      </c>
      <c r="R23" s="1" t="s">
        <v>101</v>
      </c>
    </row>
    <row r="24" spans="1:28" x14ac:dyDescent="0.25">
      <c r="K24">
        <f>VLOOKUP(J16,J12:L18,3,0)</f>
        <v>100000</v>
      </c>
      <c r="P24" s="12" t="s">
        <v>28</v>
      </c>
      <c r="Q24" s="12">
        <v>85</v>
      </c>
      <c r="R24" t="e" cm="1">
        <f t="array" ref="R24">if</f>
        <v>#NAME?</v>
      </c>
    </row>
    <row r="25" spans="1:28" x14ac:dyDescent="0.25">
      <c r="K25">
        <f>VLOOKUP(K13,K12:L18,2,FALSE)</f>
        <v>50000</v>
      </c>
      <c r="P25" s="12" t="s">
        <v>31</v>
      </c>
      <c r="Q25" s="12">
        <v>42</v>
      </c>
    </row>
    <row r="26" spans="1:28" x14ac:dyDescent="0.25">
      <c r="P26" s="12" t="s">
        <v>34</v>
      </c>
      <c r="Q26" s="12">
        <v>76</v>
      </c>
    </row>
    <row r="27" spans="1:28" x14ac:dyDescent="0.25">
      <c r="A27" s="11" t="s">
        <v>52</v>
      </c>
      <c r="B27" s="11" t="s">
        <v>40</v>
      </c>
      <c r="C27" s="11" t="s">
        <v>41</v>
      </c>
      <c r="D27" s="11" t="s">
        <v>42</v>
      </c>
      <c r="P27" s="12" t="s">
        <v>37</v>
      </c>
      <c r="Q27" s="12">
        <v>28</v>
      </c>
    </row>
    <row r="28" spans="1:28" ht="30" x14ac:dyDescent="0.25">
      <c r="A28" s="12">
        <v>1</v>
      </c>
      <c r="B28" s="12" t="s">
        <v>49</v>
      </c>
      <c r="C28" s="12" t="s">
        <v>50</v>
      </c>
      <c r="D28" s="12" t="s">
        <v>51</v>
      </c>
      <c r="P28" s="12" t="s">
        <v>54</v>
      </c>
      <c r="Q28" s="12">
        <v>35</v>
      </c>
    </row>
    <row r="29" spans="1:28" x14ac:dyDescent="0.25">
      <c r="A29" s="12">
        <v>2</v>
      </c>
      <c r="B29" s="12">
        <v>100</v>
      </c>
      <c r="C29" s="12">
        <v>150</v>
      </c>
      <c r="D29" s="12">
        <v>200</v>
      </c>
    </row>
    <row r="31" spans="1:28" x14ac:dyDescent="0.25">
      <c r="E31" t="s">
        <v>48</v>
      </c>
      <c r="F31">
        <f>HLOOKUP(B28,B28:D29,2,FALSE)</f>
        <v>100</v>
      </c>
    </row>
    <row r="35" spans="11:22" ht="30" x14ac:dyDescent="0.25">
      <c r="K35" s="11" t="s">
        <v>23</v>
      </c>
      <c r="L35" s="11" t="s">
        <v>24</v>
      </c>
      <c r="M35" s="11" t="s">
        <v>25</v>
      </c>
      <c r="N35" s="11" t="s">
        <v>26</v>
      </c>
      <c r="R35" s="11"/>
      <c r="S35" s="11" t="s">
        <v>40</v>
      </c>
      <c r="T35" s="11" t="s">
        <v>41</v>
      </c>
      <c r="U35" s="11" t="s">
        <v>42</v>
      </c>
      <c r="V35" s="11" t="s">
        <v>43</v>
      </c>
    </row>
    <row r="36" spans="11:22" x14ac:dyDescent="0.25">
      <c r="K36" s="12" t="s">
        <v>27</v>
      </c>
      <c r="L36" s="12" t="s">
        <v>28</v>
      </c>
      <c r="M36" s="12" t="s">
        <v>29</v>
      </c>
      <c r="N36" s="12">
        <v>30000</v>
      </c>
      <c r="R36" s="12">
        <v>1</v>
      </c>
      <c r="S36" s="12" t="s">
        <v>44</v>
      </c>
      <c r="T36" s="12" t="s">
        <v>45</v>
      </c>
      <c r="U36" s="12" t="s">
        <v>46</v>
      </c>
      <c r="V36" s="12" t="s">
        <v>47</v>
      </c>
    </row>
    <row r="37" spans="11:22" x14ac:dyDescent="0.25">
      <c r="K37" s="12" t="s">
        <v>30</v>
      </c>
      <c r="L37" s="12" t="s">
        <v>31</v>
      </c>
      <c r="M37" s="12" t="s">
        <v>32</v>
      </c>
      <c r="N37" s="12">
        <v>35000</v>
      </c>
      <c r="R37" s="12">
        <v>2</v>
      </c>
      <c r="S37" s="12">
        <v>5000</v>
      </c>
      <c r="T37" s="12">
        <v>6000</v>
      </c>
      <c r="U37" s="12">
        <v>7000</v>
      </c>
      <c r="V37" s="12">
        <v>8000</v>
      </c>
    </row>
    <row r="38" spans="11:22" x14ac:dyDescent="0.25">
      <c r="K38" s="12" t="s">
        <v>33</v>
      </c>
      <c r="L38" s="12" t="s">
        <v>34</v>
      </c>
      <c r="M38" s="12" t="s">
        <v>35</v>
      </c>
      <c r="N38" s="12">
        <v>45000</v>
      </c>
    </row>
    <row r="39" spans="11:22" x14ac:dyDescent="0.25">
      <c r="K39" s="12" t="s">
        <v>36</v>
      </c>
      <c r="L39" s="12" t="s">
        <v>37</v>
      </c>
      <c r="M39" s="12" t="s">
        <v>38</v>
      </c>
      <c r="N39" s="12">
        <v>40000</v>
      </c>
    </row>
    <row r="40" spans="11:22" x14ac:dyDescent="0.25">
      <c r="K40" s="12"/>
      <c r="L40" s="12"/>
      <c r="M40" s="12"/>
      <c r="N40" s="12"/>
    </row>
    <row r="42" spans="11:22" x14ac:dyDescent="0.25">
      <c r="K42" s="1" t="s">
        <v>18</v>
      </c>
    </row>
    <row r="43" spans="11:22" x14ac:dyDescent="0.25">
      <c r="K43" t="s">
        <v>39</v>
      </c>
      <c r="L43">
        <f>VLOOKUP(K38,K35:N39,4,0)</f>
        <v>45000</v>
      </c>
    </row>
  </sheetData>
  <phoneticPr fontId="2" type="noConversion"/>
  <pageMargins left="0.7" right="0.7" top="0.75" bottom="0.75" header="0.3" footer="0.3"/>
  <tableParts count="3">
    <tablePart r:id="rId1"/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93E18-5120-4386-9C3D-052251BAF851}">
  <dimension ref="I9:M19"/>
  <sheetViews>
    <sheetView topLeftCell="D11" zoomScale="160" zoomScaleNormal="160" workbookViewId="0">
      <selection activeCell="T23" sqref="T23"/>
    </sheetView>
  </sheetViews>
  <sheetFormatPr defaultRowHeight="15" x14ac:dyDescent="0.25"/>
  <cols>
    <col min="9" max="9" width="13.28515625" customWidth="1"/>
  </cols>
  <sheetData>
    <row r="9" spans="9:13" x14ac:dyDescent="0.25">
      <c r="I9" s="1"/>
    </row>
    <row r="11" spans="9:13" x14ac:dyDescent="0.25">
      <c r="M11" s="1" t="s">
        <v>17</v>
      </c>
    </row>
    <row r="12" spans="9:13" x14ac:dyDescent="0.25">
      <c r="I12" s="1" t="s">
        <v>0</v>
      </c>
      <c r="J12" s="1" t="s">
        <v>16</v>
      </c>
    </row>
    <row r="13" spans="9:13" x14ac:dyDescent="0.25">
      <c r="I13" t="s">
        <v>3</v>
      </c>
      <c r="J13">
        <v>2</v>
      </c>
    </row>
    <row r="14" spans="9:13" x14ac:dyDescent="0.25">
      <c r="I14" t="s">
        <v>4</v>
      </c>
      <c r="J14">
        <v>3</v>
      </c>
    </row>
    <row r="15" spans="9:13" x14ac:dyDescent="0.25">
      <c r="I15" t="s">
        <v>5</v>
      </c>
      <c r="J15">
        <v>4</v>
      </c>
    </row>
    <row r="16" spans="9:13" x14ac:dyDescent="0.25">
      <c r="I16" t="s">
        <v>6</v>
      </c>
      <c r="J16">
        <v>3</v>
      </c>
    </row>
    <row r="17" spans="9:10" x14ac:dyDescent="0.25">
      <c r="I17" t="s">
        <v>7</v>
      </c>
      <c r="J17">
        <v>3</v>
      </c>
    </row>
    <row r="18" spans="9:10" x14ac:dyDescent="0.25">
      <c r="I18" t="s">
        <v>8</v>
      </c>
      <c r="J18">
        <v>1</v>
      </c>
    </row>
    <row r="19" spans="9:10" x14ac:dyDescent="0.25">
      <c r="I19" t="s">
        <v>9</v>
      </c>
      <c r="J19">
        <v>2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MITS</dc:creator>
  <cp:lastModifiedBy>MITS</cp:lastModifiedBy>
  <dcterms:created xsi:type="dcterms:W3CDTF">2026-06-01T12:14:05Z</dcterms:created>
  <dcterms:modified xsi:type="dcterms:W3CDTF">2026-06-02T07:16:59Z</dcterms:modified>
</cp:coreProperties>
</file>