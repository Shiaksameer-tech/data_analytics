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8.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MITS\Desktop\"/>
    </mc:Choice>
  </mc:AlternateContent>
  <xr:revisionPtr revIDLastSave="0" documentId="13_ncr:1_{3DB11F4C-9E4A-4951-BBF7-3F55F8DBF3BA}" xr6:coauthVersionLast="47" xr6:coauthVersionMax="47" xr10:uidLastSave="{00000000-0000-0000-0000-000000000000}"/>
  <bookViews>
    <workbookView xWindow="-120" yWindow="-120" windowWidth="29040" windowHeight="15720" activeTab="7" xr2:uid="{B05EA017-3451-4701-8B8E-3C68B0AC97EE}"/>
  </bookViews>
  <sheets>
    <sheet name="Sheet3" sheetId="3" r:id="rId1"/>
    <sheet name="Sheet4" sheetId="4" r:id="rId2"/>
    <sheet name="Sheet5" sheetId="5" r:id="rId3"/>
    <sheet name="Sheet6" sheetId="6" r:id="rId4"/>
    <sheet name="Sheet7" sheetId="7" r:id="rId5"/>
    <sheet name="Sheet9" sheetId="9" r:id="rId6"/>
    <sheet name="Sheet11" sheetId="11" r:id="rId7"/>
    <sheet name="Sheet12" sheetId="12" r:id="rId8"/>
    <sheet name="Sheet1" sheetId="1" r:id="rId9"/>
  </sheets>
  <definedNames>
    <definedName name="_xlchart.v1.0" hidden="1">Sheet1!$J$50:$J$97</definedName>
    <definedName name="_xlchart.v1.1" hidden="1">Sheet1!$K$49</definedName>
    <definedName name="_xlchart.v1.10" hidden="1">Sheet1!$K$49</definedName>
    <definedName name="_xlchart.v1.11" hidden="1">Sheet1!$K$50:$K$97</definedName>
    <definedName name="_xlchart.v1.12" hidden="1">Sheet1!$J$50:$J$97</definedName>
    <definedName name="_xlchart.v1.13" hidden="1">Sheet1!$K$49</definedName>
    <definedName name="_xlchart.v1.14" hidden="1">Sheet1!$K$50:$K$97</definedName>
    <definedName name="_xlchart.v1.15" hidden="1">Sheet1!$J$50:$J$97</definedName>
    <definedName name="_xlchart.v1.16" hidden="1">Sheet1!$K$49</definedName>
    <definedName name="_xlchart.v1.17" hidden="1">Sheet1!$K$50:$K$97</definedName>
    <definedName name="_xlchart.v1.18" hidden="1">Sheet1!$J$50:$J$97</definedName>
    <definedName name="_xlchart.v1.19" hidden="1">Sheet1!$K$49</definedName>
    <definedName name="_xlchart.v1.2" hidden="1">Sheet1!$K$50:$K$97</definedName>
    <definedName name="_xlchart.v1.20" hidden="1">Sheet1!$K$50:$K$97</definedName>
    <definedName name="_xlchart.v1.3" hidden="1">Sheet1!$J$50:$J$97</definedName>
    <definedName name="_xlchart.v1.4" hidden="1">Sheet1!$K$49</definedName>
    <definedName name="_xlchart.v1.5" hidden="1">Sheet1!$K$50:$K$97</definedName>
    <definedName name="_xlchart.v1.6" hidden="1">Sheet1!$J$50:$J$97</definedName>
    <definedName name="_xlchart.v1.7" hidden="1">Sheet1!$K$49</definedName>
    <definedName name="_xlchart.v1.8" hidden="1">Sheet1!$K$50:$K$97</definedName>
    <definedName name="_xlchart.v1.9" hidden="1">Sheet1!$J$50:$J$97</definedName>
    <definedName name="Slicer_ProductCategory">#N/A</definedName>
    <definedName name="Slicer_Quantity">#N/A</definedName>
  </definedNames>
  <calcPr calcId="181029"/>
  <pivotCaches>
    <pivotCache cacheId="0" r:id="rId10"/>
    <pivotCache cacheId="1" r:id="rId11"/>
    <pivotCache cacheId="2" r:id="rId12"/>
    <pivotCache cacheId="3" r:id="rId13"/>
    <pivotCache cacheId="110" r:id="rId14"/>
    <pivotCache cacheId="63" r:id="rId15"/>
    <pivotCache cacheId="105" r:id="rId16"/>
  </pivotCaches>
  <extLst>
    <ext xmlns:x14="http://schemas.microsoft.com/office/spreadsheetml/2009/9/main" uri="{BBE1A952-AA13-448e-AADC-164F8A28A991}">
      <x14:slicerCaches>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A2" i="1" l="1"/>
  <c r="AA3" i="1"/>
  <c r="AA4" i="1"/>
  <c r="AA5" i="1"/>
  <c r="AA6" i="1"/>
  <c r="AA7" i="1"/>
  <c r="AA8" i="1"/>
  <c r="AA9" i="1"/>
  <c r="AA10" i="1"/>
  <c r="AA11" i="1"/>
  <c r="AA12" i="1"/>
  <c r="AA13" i="1"/>
  <c r="AA14" i="1"/>
  <c r="AA15" i="1"/>
  <c r="AA16" i="1"/>
  <c r="AA17" i="1"/>
  <c r="AA18" i="1"/>
  <c r="AA19" i="1"/>
  <c r="AA20" i="1"/>
  <c r="AA21" i="1"/>
  <c r="Z2" i="1"/>
  <c r="Z3" i="1"/>
  <c r="Z4" i="1"/>
  <c r="Z5" i="1"/>
  <c r="Z6" i="1"/>
  <c r="Z7" i="1"/>
  <c r="Z8" i="1"/>
  <c r="Z9" i="1"/>
  <c r="Z10" i="1"/>
  <c r="Z11" i="1"/>
  <c r="Z12" i="1"/>
  <c r="Z13" i="1"/>
  <c r="Z14" i="1"/>
  <c r="Z15" i="1"/>
  <c r="Z16" i="1"/>
  <c r="Z17" i="1"/>
  <c r="Z18" i="1"/>
  <c r="Z19" i="1"/>
  <c r="Z20" i="1"/>
  <c r="Z21" i="1"/>
  <c r="Y5" i="1"/>
  <c r="Y6" i="1"/>
  <c r="Y11" i="1"/>
  <c r="Y12" i="1"/>
  <c r="Y15" i="1"/>
  <c r="Y21" i="1"/>
  <c r="X2" i="1"/>
  <c r="Y2" i="1" s="1"/>
  <c r="X3" i="1"/>
  <c r="Y3" i="1" s="1"/>
  <c r="X4" i="1"/>
  <c r="Y4" i="1" s="1"/>
  <c r="X5" i="1"/>
  <c r="X6" i="1"/>
  <c r="X7" i="1"/>
  <c r="Y7" i="1" s="1"/>
  <c r="X8" i="1"/>
  <c r="Y8" i="1" s="1"/>
  <c r="X9" i="1"/>
  <c r="Y9" i="1" s="1"/>
  <c r="X10" i="1"/>
  <c r="Y10" i="1" s="1"/>
  <c r="X11" i="1"/>
  <c r="X12" i="1"/>
  <c r="X13" i="1"/>
  <c r="Y13" i="1" s="1"/>
  <c r="X14" i="1"/>
  <c r="Y14" i="1" s="1"/>
  <c r="X15" i="1"/>
  <c r="X16" i="1"/>
  <c r="Y16" i="1" s="1"/>
  <c r="X17" i="1"/>
  <c r="Y17" i="1" s="1"/>
  <c r="X18" i="1"/>
  <c r="Y18" i="1" s="1"/>
  <c r="X19" i="1"/>
  <c r="Y19" i="1" s="1"/>
  <c r="X20" i="1"/>
  <c r="Y20" i="1" s="1"/>
  <c r="X21" i="1"/>
  <c r="V2" i="1"/>
  <c r="V3" i="1"/>
  <c r="V4" i="1"/>
  <c r="V5" i="1"/>
  <c r="V6" i="1"/>
  <c r="V7" i="1"/>
  <c r="V8" i="1"/>
  <c r="V9" i="1"/>
  <c r="V10" i="1"/>
  <c r="V11" i="1"/>
  <c r="V12" i="1"/>
  <c r="V13" i="1"/>
  <c r="V14" i="1"/>
  <c r="V15" i="1"/>
  <c r="V16" i="1"/>
  <c r="V17" i="1"/>
  <c r="V18" i="1"/>
  <c r="V19" i="1"/>
  <c r="V20" i="1"/>
  <c r="V21" i="1"/>
  <c r="W2" i="1"/>
  <c r="W3" i="1"/>
  <c r="W4" i="1"/>
  <c r="W5" i="1"/>
  <c r="W6" i="1"/>
  <c r="W7" i="1"/>
  <c r="W8" i="1"/>
  <c r="W9" i="1"/>
  <c r="W10" i="1"/>
  <c r="W11" i="1"/>
  <c r="W12" i="1"/>
  <c r="W13" i="1"/>
  <c r="W14" i="1"/>
  <c r="W15" i="1"/>
  <c r="W16" i="1"/>
  <c r="W17" i="1"/>
  <c r="W18" i="1"/>
  <c r="W19" i="1"/>
  <c r="W20" i="1"/>
  <c r="W21" i="1"/>
  <c r="C2" i="1" a="1"/>
  <c r="C2" i="1" s="1"/>
  <c r="R24" i="1" a="1"/>
  <c r="R24" i="1" s="1"/>
  <c r="H10" i="1"/>
  <c r="G13" i="1"/>
  <c r="G12" i="1"/>
  <c r="G11" i="1"/>
  <c r="G10" i="1"/>
  <c r="F12" i="1"/>
  <c r="F11" i="1"/>
  <c r="F10" i="1"/>
  <c r="K24" i="1"/>
  <c r="M4" i="1"/>
  <c r="M3" i="1"/>
  <c r="M2" i="1"/>
  <c r="E12" i="1"/>
  <c r="E11" i="1"/>
  <c r="E10" i="1"/>
  <c r="F31" i="1"/>
  <c r="L43" i="1"/>
  <c r="K25" i="1"/>
  <c r="K23" i="1"/>
  <c r="C6" i="1"/>
  <c r="C3" i="1" l="1"/>
  <c r="C4" i="1"/>
  <c r="C5" i="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<sst xmlns="http://schemas.openxmlformats.org/spreadsheetml/2006/main" count="578" uniqueCount="210">
  <si>
    <t>ProductId</t>
  </si>
  <si>
    <t>ProductName</t>
  </si>
  <si>
    <t>price</t>
  </si>
  <si>
    <t>p1001</t>
  </si>
  <si>
    <t>p1002</t>
  </si>
  <si>
    <t>p1003</t>
  </si>
  <si>
    <t>p1004</t>
  </si>
  <si>
    <t>p1005</t>
  </si>
  <si>
    <t>p1006</t>
  </si>
  <si>
    <t>p1007</t>
  </si>
  <si>
    <t>Headphones</t>
  </si>
  <si>
    <t>Iphone</t>
  </si>
  <si>
    <t>Airpods</t>
  </si>
  <si>
    <t>Samsung</t>
  </si>
  <si>
    <t>MacBook</t>
  </si>
  <si>
    <t>Apple</t>
  </si>
  <si>
    <t>Quantity</t>
  </si>
  <si>
    <t>Vlookup</t>
  </si>
  <si>
    <t>Emp ID</t>
  </si>
  <si>
    <t>Name</t>
  </si>
  <si>
    <t>Department</t>
  </si>
  <si>
    <t>Salary</t>
  </si>
  <si>
    <t>E101</t>
  </si>
  <si>
    <t>Ravi</t>
  </si>
  <si>
    <t>Sales</t>
  </si>
  <si>
    <t>E102</t>
  </si>
  <si>
    <t>Priya</t>
  </si>
  <si>
    <t>HR</t>
  </si>
  <si>
    <t>E103</t>
  </si>
  <si>
    <t>Kiran</t>
  </si>
  <si>
    <t>IT</t>
  </si>
  <si>
    <t>E104</t>
  </si>
  <si>
    <t>Anil</t>
  </si>
  <si>
    <t>Finance</t>
  </si>
  <si>
    <t>e103</t>
  </si>
  <si>
    <t>A</t>
  </si>
  <si>
    <t>B</t>
  </si>
  <si>
    <t>C</t>
  </si>
  <si>
    <t>D</t>
  </si>
  <si>
    <t>Jan</t>
  </si>
  <si>
    <t>Feb</t>
  </si>
  <si>
    <t>Mar</t>
  </si>
  <si>
    <t>Apr</t>
  </si>
  <si>
    <t>Hlookup</t>
  </si>
  <si>
    <t>Product A</t>
  </si>
  <si>
    <t>Product B</t>
  </si>
  <si>
    <t>Product C</t>
  </si>
  <si>
    <t>index</t>
  </si>
  <si>
    <t>E105</t>
  </si>
  <si>
    <t>Sai</t>
  </si>
  <si>
    <t>Marketing</t>
  </si>
  <si>
    <t>vlookup</t>
  </si>
  <si>
    <t>Product</t>
  </si>
  <si>
    <t>Product D</t>
  </si>
  <si>
    <t>Profit</t>
  </si>
  <si>
    <t>xlookup</t>
  </si>
  <si>
    <t>Match</t>
  </si>
  <si>
    <t>Index</t>
  </si>
  <si>
    <t>City</t>
  </si>
  <si>
    <t>Experience</t>
  </si>
  <si>
    <t>Hyderabad</t>
  </si>
  <si>
    <t>Chennai</t>
  </si>
  <si>
    <t>Bangalore</t>
  </si>
  <si>
    <t>Pune</t>
  </si>
  <si>
    <t>E106</t>
  </si>
  <si>
    <t>Neha</t>
  </si>
  <si>
    <t>E107</t>
  </si>
  <si>
    <t>Arjun</t>
  </si>
  <si>
    <t>E108</t>
  </si>
  <si>
    <t>Divya</t>
  </si>
  <si>
    <t>E109</t>
  </si>
  <si>
    <t>Rohit</t>
  </si>
  <si>
    <t>E110</t>
  </si>
  <si>
    <t>Pooja</t>
  </si>
  <si>
    <t>E111</t>
  </si>
  <si>
    <t>Manoj</t>
  </si>
  <si>
    <t>E112</t>
  </si>
  <si>
    <t>Keerthi</t>
  </si>
  <si>
    <t>E113</t>
  </si>
  <si>
    <t>Varun</t>
  </si>
  <si>
    <t>E114</t>
  </si>
  <si>
    <t>Sneha</t>
  </si>
  <si>
    <t>E115</t>
  </si>
  <si>
    <t>Akash</t>
  </si>
  <si>
    <t>E116</t>
  </si>
  <si>
    <t>Harsha</t>
  </si>
  <si>
    <t>E117</t>
  </si>
  <si>
    <t>Bhavana</t>
  </si>
  <si>
    <t>E118</t>
  </si>
  <si>
    <t>Nikhil</t>
  </si>
  <si>
    <t>E119</t>
  </si>
  <si>
    <t>Ayesha</t>
  </si>
  <si>
    <t>E120</t>
  </si>
  <si>
    <t>Teja</t>
  </si>
  <si>
    <t>Student</t>
  </si>
  <si>
    <t>Marks</t>
  </si>
  <si>
    <t>Result</t>
  </si>
  <si>
    <t>bonus</t>
  </si>
  <si>
    <t>salaryy</t>
  </si>
  <si>
    <t>increment(AND)</t>
  </si>
  <si>
    <t>not</t>
  </si>
  <si>
    <t>x-or</t>
  </si>
  <si>
    <t>if+xor</t>
  </si>
  <si>
    <t>ColumSn1</t>
  </si>
  <si>
    <t>TransactionID</t>
  </si>
  <si>
    <t>CustomerID</t>
  </si>
  <si>
    <t>ProductID</t>
  </si>
  <si>
    <t>ProductCategory</t>
  </si>
  <si>
    <t>Price</t>
  </si>
  <si>
    <t>Discount</t>
  </si>
  <si>
    <t>TransactionDate</t>
  </si>
  <si>
    <t>PaymentMethod</t>
  </si>
  <si>
    <t>CustomerLocation</t>
  </si>
  <si>
    <t>CustomerAge</t>
  </si>
  <si>
    <t>CustomerGender</t>
  </si>
  <si>
    <t>CustomerIncomeGroup</t>
  </si>
  <si>
    <t>CustomerLoyaltyScore</t>
  </si>
  <si>
    <t>Clothing</t>
  </si>
  <si>
    <t>Cash on Delivery</t>
  </si>
  <si>
    <t>New Juan</t>
  </si>
  <si>
    <t>Female</t>
  </si>
  <si>
    <t>Medium</t>
  </si>
  <si>
    <t>Beauty</t>
  </si>
  <si>
    <t>Debit Card</t>
  </si>
  <si>
    <t>South Julie</t>
  </si>
  <si>
    <t>Other</t>
  </si>
  <si>
    <t>High</t>
  </si>
  <si>
    <t>Toys</t>
  </si>
  <si>
    <t>West Carrieview</t>
  </si>
  <si>
    <t>Bank Transfer</t>
  </si>
  <si>
    <t>Christianberg</t>
  </si>
  <si>
    <t>Low</t>
  </si>
  <si>
    <t>Electronics</t>
  </si>
  <si>
    <t>South Williamhaven</t>
  </si>
  <si>
    <t>Books</t>
  </si>
  <si>
    <t>Stephenfort</t>
  </si>
  <si>
    <t>Male</t>
  </si>
  <si>
    <t>Credit Card</t>
  </si>
  <si>
    <t>North Terristad</t>
  </si>
  <si>
    <t>Sports</t>
  </si>
  <si>
    <t>Pachecotown</t>
  </si>
  <si>
    <t>Port Philipberg</t>
  </si>
  <si>
    <t>Jenniferfurt</t>
  </si>
  <si>
    <t>Lake Carolyn</t>
  </si>
  <si>
    <t>Amandaborough</t>
  </si>
  <si>
    <t>South Maria</t>
  </si>
  <si>
    <t>Home &amp; Kitchen</t>
  </si>
  <si>
    <t>West Marissa</t>
  </si>
  <si>
    <t>Austinburgh</t>
  </si>
  <si>
    <t>Lake Jesse</t>
  </si>
  <si>
    <t>Marioburgh</t>
  </si>
  <si>
    <t>PayPal</t>
  </si>
  <si>
    <t>Ryanhaven</t>
  </si>
  <si>
    <t>Dickersonmouth</t>
  </si>
  <si>
    <t>Annaborough</t>
  </si>
  <si>
    <t>Ramirezburgh</t>
  </si>
  <si>
    <t>Sextonberg</t>
  </si>
  <si>
    <t>Beasleyshire</t>
  </si>
  <si>
    <t>Lake Brittneyland</t>
  </si>
  <si>
    <t>South John</t>
  </si>
  <si>
    <t>New Devin</t>
  </si>
  <si>
    <t>Lake Denise</t>
  </si>
  <si>
    <t>South Susan</t>
  </si>
  <si>
    <t>Johnsonchester</t>
  </si>
  <si>
    <t>Martinberg</t>
  </si>
  <si>
    <t>Lake Billy</t>
  </si>
  <si>
    <t>Josephborough</t>
  </si>
  <si>
    <t>Noahbury</t>
  </si>
  <si>
    <t>Bowmanport</t>
  </si>
  <si>
    <t>South Melvinville</t>
  </si>
  <si>
    <t>East Brittany</t>
  </si>
  <si>
    <t>Lake Stephaniefurt</t>
  </si>
  <si>
    <t>North Adam</t>
  </si>
  <si>
    <t>Sancheztown</t>
  </si>
  <si>
    <t>Burtonmouth</t>
  </si>
  <si>
    <t>Lake Josephmouth</t>
  </si>
  <si>
    <t>Clarkeville</t>
  </si>
  <si>
    <t>Christopherside</t>
  </si>
  <si>
    <t>Deborahton</t>
  </si>
  <si>
    <t>Ewingbury</t>
  </si>
  <si>
    <t>Michelleborough</t>
  </si>
  <si>
    <t>South Cathy</t>
  </si>
  <si>
    <t>Garciaburgh</t>
  </si>
  <si>
    <t>Berryfort</t>
  </si>
  <si>
    <t>Row Labels</t>
  </si>
  <si>
    <t>Sum of Price</t>
  </si>
  <si>
    <t>Grand Total</t>
  </si>
  <si>
    <t>Count of CustomerGender</t>
  </si>
  <si>
    <t>date</t>
  </si>
  <si>
    <t>conditional formatting</t>
  </si>
  <si>
    <t>thousand separator</t>
  </si>
  <si>
    <t>currancy</t>
  </si>
  <si>
    <t>percentage</t>
  </si>
  <si>
    <t>hiding zeros</t>
  </si>
  <si>
    <t>hiding -ve</t>
  </si>
  <si>
    <t>Column1</t>
  </si>
  <si>
    <t>Column2</t>
  </si>
  <si>
    <t>Column3</t>
  </si>
  <si>
    <t>Column4</t>
  </si>
  <si>
    <t>1,23,456.00</t>
  </si>
  <si>
    <t>feedback</t>
  </si>
  <si>
    <t>Region</t>
  </si>
  <si>
    <t>North</t>
  </si>
  <si>
    <t>South</t>
  </si>
  <si>
    <t>East</t>
  </si>
  <si>
    <t>West</t>
  </si>
  <si>
    <t>Count of CustomerIncomeGroup</t>
  </si>
  <si>
    <t>Count of CustomerLocation</t>
  </si>
  <si>
    <t>Sum of TransactionID</t>
  </si>
  <si>
    <t>Sum of 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</si>
</sst>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 #,##0.00_ ;_ * \-#,##0.00_ ;_ * &quot;-&quot;??_ ;_ @_ "/>
    <numFmt numFmtId="164" formatCode="&quot;₹&quot;\ #,##0.00"/>
    <numFmt numFmtId="165" formatCode="[$-14009]dd/mm/yyyy;@"/>
    <numFmt numFmtId="166" formatCode="#,##0.0;[Red]#,##0.0"/>
    <numFmt numFmtId="167" formatCode="0.0%"/>
    <numFmt numFmtId="168" formatCode="&quot;₹&quot;#,##0.00"/>
    <numFmt numFmtId="169" formatCode="&quot;₹&quot;#,##0.0"/>
    <numFmt numFmtId="170" formatCode="0&quot;unit&quot;"/>
    <numFmt numFmtId="171" formatCode="0;\-0;&quot;zero&quot;"/>
  </numFmts>
  <fonts count="9" x14ac:knownFonts="1">
    <font>
      <sz val="11"/>
      <color theme="1"/>
      <name val="Calibri"/>
      <family val="2"/>
      <scheme val="minor"/>
    </font>
    <font>
      <b/>
      <sz val="11"/>
      <color theme="1"/>
      <name val="Calibri"/>
      <family val="2"/>
      <scheme val="minor"/>
    </font>
    <font>
      <sz val="8"/>
      <name val="Calibri"/>
      <family val="2"/>
      <scheme val="minor"/>
    </font>
    <font>
      <sz val="11"/>
      <color theme="1"/>
      <name val="Calibri"/>
      <family val="2"/>
      <scheme val="minor"/>
    </font>
    <font>
      <b/>
      <sz val="14"/>
      <name val="Calibri"/>
      <family val="2"/>
      <scheme val="minor"/>
    </font>
    <font>
      <sz val="14"/>
      <name val="Calibri"/>
      <family val="2"/>
      <scheme val="minor"/>
    </font>
    <font>
      <b/>
      <sz val="12"/>
      <color theme="1"/>
      <name val="Calibri"/>
      <family val="2"/>
      <scheme val="minor"/>
    </font>
    <font>
      <b/>
      <sz val="14"/>
      <color theme="1"/>
      <name val="Calibri"/>
      <family val="2"/>
      <scheme val="minor"/>
    </font>
    <font>
      <sz val="14"/>
      <color theme="1"/>
      <name val="Calibri"/>
      <family val="2"/>
      <scheme val="minor"/>
    </font>
  </fonts>
  <fills count="4">
    <fill>
      <patternFill patternType="none"/>
    </fill>
    <fill>
      <patternFill patternType="gray125"/>
    </fill>
    <fill>
      <patternFill patternType="solid">
        <fgColor theme="9" tint="0.39997558519241921"/>
        <bgColor indexed="64"/>
      </patternFill>
    </fill>
    <fill>
      <patternFill patternType="solid">
        <fgColor theme="3" tint="0.79998168889431442"/>
        <bgColor indexed="64"/>
      </patternFill>
    </fill>
  </fills>
  <borders count="19">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style="thin">
        <color auto="1"/>
      </top>
      <bottom style="thin">
        <color indexed="64"/>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3">
    <xf numFmtId="0" fontId="0" fillId="0" borderId="0"/>
    <xf numFmtId="9" fontId="3" fillId="0" borderId="0" applyFont="0" applyFill="0" applyBorder="0" applyAlignment="0" applyProtection="0"/>
    <xf numFmtId="43" fontId="3" fillId="0" borderId="0" applyFont="0" applyFill="0" applyBorder="0" applyAlignment="0" applyProtection="0"/>
  </cellStyleXfs>
  <cellXfs count="66">
    <xf numFmtId="0" fontId="0" fillId="0" borderId="0" xfId="0"/>
    <xf numFmtId="0" fontId="1" fillId="0" borderId="0" xfId="0" applyFon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1"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center" vertical="center" wrapText="1"/>
    </xf>
    <xf numFmtId="164" fontId="0" fillId="0" borderId="0" xfId="0" applyNumberFormat="1"/>
    <xf numFmtId="2" fontId="0" fillId="0" borderId="0" xfId="0" applyNumberFormat="1"/>
    <xf numFmtId="165" fontId="1" fillId="0" borderId="0" xfId="0" applyNumberFormat="1" applyFont="1" applyAlignment="1">
      <alignment horizontal="center" vertical="center" wrapText="1"/>
    </xf>
    <xf numFmtId="165" fontId="0" fillId="0" borderId="0" xfId="0" applyNumberFormat="1" applyAlignment="1">
      <alignment vertical="center" wrapText="1"/>
    </xf>
    <xf numFmtId="165" fontId="0" fillId="0" borderId="0" xfId="0" applyNumberFormat="1"/>
    <xf numFmtId="165" fontId="1" fillId="0" borderId="0" xfId="0" applyNumberFormat="1" applyFont="1"/>
    <xf numFmtId="2" fontId="1" fillId="0" borderId="0" xfId="0" applyNumberFormat="1" applyFont="1" applyAlignment="1">
      <alignment horizontal="center" vertical="center" wrapText="1"/>
    </xf>
    <xf numFmtId="2" fontId="0" fillId="0" borderId="0" xfId="0" applyNumberFormat="1" applyAlignment="1">
      <alignment vertical="center" wrapText="1"/>
    </xf>
    <xf numFmtId="167" fontId="0" fillId="0" borderId="0" xfId="1" applyNumberFormat="1" applyFont="1"/>
    <xf numFmtId="167" fontId="1" fillId="0" borderId="0" xfId="1" applyNumberFormat="1" applyFont="1"/>
    <xf numFmtId="0" fontId="4" fillId="2" borderId="10" xfId="0" applyFont="1" applyFill="1" applyBorder="1" applyAlignment="1">
      <alignment horizontal="center" vertical="top"/>
    </xf>
    <xf numFmtId="167" fontId="4" fillId="2" borderId="10" xfId="1" applyNumberFormat="1" applyFont="1" applyFill="1" applyBorder="1" applyAlignment="1">
      <alignment horizontal="center" vertical="top"/>
    </xf>
    <xf numFmtId="165" fontId="4" fillId="2" borderId="10" xfId="0" applyNumberFormat="1" applyFont="1" applyFill="1" applyBorder="1" applyAlignment="1">
      <alignment horizontal="center" vertical="top"/>
    </xf>
    <xf numFmtId="2" fontId="4" fillId="2" borderId="10" xfId="0" applyNumberFormat="1" applyFont="1" applyFill="1" applyBorder="1" applyAlignment="1">
      <alignment horizontal="center" vertical="top"/>
    </xf>
    <xf numFmtId="0" fontId="5" fillId="0" borderId="10" xfId="0" applyFont="1" applyBorder="1" applyAlignment="1">
      <alignment horizontal="center" vertical="top"/>
    </xf>
    <xf numFmtId="167" fontId="5" fillId="0" borderId="10" xfId="1" applyNumberFormat="1" applyFont="1" applyBorder="1" applyAlignment="1">
      <alignment horizontal="center" vertical="top"/>
    </xf>
    <xf numFmtId="165" fontId="5" fillId="0" borderId="10" xfId="0" applyNumberFormat="1" applyFont="1" applyBorder="1" applyAlignment="1">
      <alignment horizontal="center" vertical="top"/>
    </xf>
    <xf numFmtId="2" fontId="5" fillId="0" borderId="10" xfId="0" applyNumberFormat="1" applyFont="1" applyBorder="1" applyAlignment="1">
      <alignment horizontal="center" vertical="top"/>
    </xf>
    <xf numFmtId="0" fontId="0" fillId="0" borderId="0" xfId="0" pivotButton="1"/>
    <xf numFmtId="0" fontId="0" fillId="0" borderId="0" xfId="0" applyAlignment="1">
      <alignment horizontal="left"/>
    </xf>
    <xf numFmtId="164" fontId="0" fillId="0" borderId="0" xfId="2" applyNumberFormat="1" applyFont="1"/>
    <xf numFmtId="164" fontId="1" fillId="0" borderId="0" xfId="2" applyNumberFormat="1" applyFont="1" applyAlignment="1">
      <alignment horizontal="center" vertical="center" wrapText="1"/>
    </xf>
    <xf numFmtId="164" fontId="4" fillId="2" borderId="10" xfId="2" applyNumberFormat="1" applyFont="1" applyFill="1" applyBorder="1" applyAlignment="1">
      <alignment horizontal="center" vertical="top"/>
    </xf>
    <xf numFmtId="164" fontId="5" fillId="0" borderId="10" xfId="2" applyNumberFormat="1" applyFont="1" applyBorder="1" applyAlignment="1">
      <alignment horizontal="center" vertical="top"/>
    </xf>
    <xf numFmtId="4" fontId="0" fillId="0" borderId="0" xfId="0" applyNumberFormat="1"/>
    <xf numFmtId="168" fontId="0" fillId="0" borderId="0" xfId="0" applyNumberFormat="1"/>
    <xf numFmtId="167" fontId="0" fillId="0" borderId="0" xfId="0" applyNumberFormat="1"/>
    <xf numFmtId="169" fontId="0" fillId="0" borderId="0" xfId="0" applyNumberFormat="1"/>
    <xf numFmtId="170" fontId="0" fillId="0" borderId="0" xfId="0" applyNumberFormat="1"/>
    <xf numFmtId="170" fontId="1" fillId="0" borderId="0" xfId="0" applyNumberFormat="1" applyFont="1" applyAlignment="1">
      <alignment horizontal="center" vertical="center" wrapText="1"/>
    </xf>
    <xf numFmtId="170" fontId="4" fillId="2" borderId="10" xfId="0" applyNumberFormat="1" applyFont="1" applyFill="1" applyBorder="1" applyAlignment="1">
      <alignment horizontal="center" vertical="top"/>
    </xf>
    <xf numFmtId="170" fontId="5" fillId="0" borderId="10" xfId="0" applyNumberFormat="1" applyFont="1" applyBorder="1" applyAlignment="1">
      <alignment horizontal="center" vertical="top"/>
    </xf>
    <xf numFmtId="171" fontId="0" fillId="0" borderId="0" xfId="0" applyNumberFormat="1"/>
    <xf numFmtId="0" fontId="0" fillId="0" borderId="0" xfId="2" applyNumberFormat="1" applyFont="1"/>
    <xf numFmtId="0" fontId="6" fillId="3" borderId="0" xfId="0" applyFont="1" applyFill="1" applyAlignment="1">
      <alignment horizontal="center"/>
    </xf>
    <xf numFmtId="0" fontId="8" fillId="0" borderId="0" xfId="0" applyFont="1"/>
    <xf numFmtId="0" fontId="7" fillId="0" borderId="0" xfId="0" applyFont="1"/>
    <xf numFmtId="167" fontId="8" fillId="0" borderId="0" xfId="0" applyNumberFormat="1" applyFont="1"/>
    <xf numFmtId="0" fontId="7" fillId="2" borderId="10" xfId="0" applyFont="1" applyFill="1" applyBorder="1" applyAlignment="1">
      <alignment horizontal="center" vertical="center" wrapText="1"/>
    </xf>
    <xf numFmtId="0" fontId="7" fillId="2" borderId="10" xfId="0" applyFont="1" applyFill="1" applyBorder="1" applyAlignment="1">
      <alignment horizontal="right" vertical="center" wrapText="1"/>
    </xf>
    <xf numFmtId="0" fontId="0" fillId="0" borderId="10" xfId="0" applyBorder="1"/>
    <xf numFmtId="0" fontId="0" fillId="0" borderId="10" xfId="0" applyBorder="1" applyAlignment="1">
      <alignment vertical="center" wrapText="1"/>
    </xf>
    <xf numFmtId="0" fontId="0" fillId="0" borderId="10" xfId="0" applyBorder="1" applyAlignment="1">
      <alignment horizontal="right" vertical="center" wrapText="1"/>
    </xf>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0" xfId="0" applyNumberFormat="1"/>
  </cellXfs>
  <cellStyles count="3">
    <cellStyle name="Comma" xfId="2" builtinId="3"/>
    <cellStyle name="Normal" xfId="0" builtinId="0"/>
    <cellStyle name="Percent" xfId="1" builtinId="5"/>
  </cellStyles>
  <dxfs count="38">
    <dxf>
      <font>
        <color rgb="FF9C0006"/>
      </font>
      <fill>
        <patternFill>
          <bgColor rgb="FFFFC7CE"/>
        </patternFill>
      </fill>
    </dxf>
    <dxf>
      <fill>
        <patternFill>
          <bgColor theme="8" tint="0.39994506668294322"/>
        </patternFill>
      </fill>
      <border>
        <left style="thin">
          <color auto="1"/>
        </left>
        <right style="thin">
          <color auto="1"/>
        </right>
        <top style="thin">
          <color auto="1"/>
        </top>
        <bottom style="thin">
          <color auto="1"/>
        </bottom>
        <vertical/>
        <horizontal/>
      </border>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numFmt numFmtId="171" formatCode="0;\-0;&quot;zero&quot;"/>
    </dxf>
    <dxf>
      <numFmt numFmtId="170" formatCode="0&quot;unit&quot;"/>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165" formatCode="[$-14009]dd/mm/yyyy;@"/>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pivotCacheDefinition" Target="pivotCache/pivotCacheDefinition6.xml"/><Relationship Id="rId23" Type="http://schemas.openxmlformats.org/officeDocument/2006/relationships/calcChain" Target="calcChain.xml"/><Relationship Id="rId10" Type="http://schemas.openxmlformats.org/officeDocument/2006/relationships/pivotCacheDefinition" Target="pivotCache/pivotCacheDefinition1.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[day-2.xlsx]Sheet11!PivotTable53</c:name>
    <c:fmtId val="0"/>
  </c:pivotSource>
  <c:chart>
    <c:autoTitleDeleted val="0"/>
    <c:plotArea>
      <c:layout/>
      <c:barChart>
        <c:barDir val="col"/>
        <c:grouping val="clustered"/>
        <c:varyColors val="0"/>
        <c:dLbls>
          <c:showLegendKey val="0"/>
          <c:showVal val="0"/>
          <c:showCatName val="0"/>
          <c:showSerName val="0"/>
          <c:showPercent val="0"/>
          <c:showBubbleSize val="0"/>
        </c:dLbls>
        <c:gapWidth val="219"/>
        <c:overlap val="-27"/>
        <c:axId val="1902652719"/>
        <c:axId val="1902645519"/>
      </c:barChart>
      <c:catAx>
        <c:axId val="190265271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2645519"/>
        <c:crosses val="autoZero"/>
        <c:auto val="1"/>
        <c:lblAlgn val="ctr"/>
        <c:lblOffset val="100"/>
        <c:noMultiLvlLbl val="0"/>
      </c:catAx>
      <c:valAx>
        <c:axId val="1902645519"/>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26527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[day-2.xlsx]Sheet12!PivotTable54</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Sheet12!$B$3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Sheet12!$A$4:$A$9</c:f>
              <c:strCache>
                <c:ptCount val="5"/>
                <c:pt idx="0">
                  <c:v>Beauty</c:v>
                </c:pt>
                <c:pt idx="1">
                  <c:v>Clothing</c:v>
                </c:pt>
                <c:pt idx="2">
                  <c:v>Electronics</c:v>
                </c:pt>
                <c:pt idx="3">
                  <c:v>Sports</c:v>
                </c:pt>
                <c:pt idx="4">
                  <c:v>Toys</c:v>
                </c:pt>
              </c:strCache>
            </c:strRef>
          </c:cat>
          <c:val>
            <c:numRef>
              <c:f>Sheet12!$B$4:$B$9</c:f>
              <c:numCache>
                <c:formatCode>0.0%</c:formatCode>
                <c:ptCount val="5"/>
                <c:pt idx="0">
                  <c:v>0.01</c:v>
                </c:pt>
                <c:pt idx="1">
                  <c:v>0.26</c:v>
                </c:pt>
                <c:pt idx="2">
                  <c:v>0.14000000000000001</c:v>
                </c:pt>
                <c:pt idx="3">
                  <c:v>0.05</c:v>
                </c:pt>
                <c:pt idx="4">
                  <c:v>0.79</c:v>
                </c:pt>
              </c:numCache>
            </c:numRef>
          </c:val>
          <c:extLst>
            <c:ext xmlns:c16="http://schemas.microsoft.com/office/drawing/2014/chart" uri="{C3380CC4-5D6E-409C-BE32-E72D297353CC}">
              <c16:uniqueId val="{00000000-45E6-4FEE-BE2B-09AB73863D72}"/>
            </c:ext>
          </c:extLst>
        </c:ser>
        <c:dLbls>
          <c:showLegendKey val="0"/>
          <c:showVal val="0"/>
          <c:showCatName val="0"/>
          <c:showSerName val="0"/>
          <c:showPercent val="0"/>
          <c:showBubbleSize val="0"/>
        </c:dLbls>
        <c:gapWidth val="100"/>
        <c:overlap val="-24"/>
        <c:axId val="1902650319"/>
        <c:axId val="1902646479"/>
      </c:barChart>
      <c:catAx>
        <c:axId val="190265031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2646479"/>
        <c:crosses val="autoZero"/>
        <c:auto val="1"/>
        <c:lblAlgn val="ctr"/>
        <c:lblOffset val="100"/>
        <c:noMultiLvlLbl val="0"/>
      </c:catAx>
      <c:valAx>
        <c:axId val="190264647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2650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N"/>
              <a:t>Sum of CustomerAge by CustomerGender</a:t>
            </a:r>
          </a:p>
        </c:rich>
      </c:tx>
      <c:layout>
        <c:manualLayout>
          <c:xMode val="edge"/>
          <c:yMode val="edge"/>
          <c:x val="0.1569166666666667"/>
          <c:y val="0.12397929425488481"/>
        </c:manualLayout>
      </c:layout>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pPr>
            <a:solidFill>
              <a:schemeClr val="accent1"/>
            </a:solidFill>
            <a:ln w="9525">
              <a:solidFill>
                <a:schemeClr val="accent1"/>
              </a:solidFill>
              <a:round/>
            </a:ln>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9136482939632541E-2"/>
          <c:y val="0.25865522018081066"/>
          <c:w val="0.87753018372703417"/>
          <c:h val="0.53774387576552929"/>
        </c:manualLayout>
      </c:layout>
      <c:barChart>
        <c:barDir val="col"/>
        <c:grouping val="clustered"/>
        <c:varyColors val="0"/>
        <c:ser>
          <c:idx val="0"/>
          <c:order val="0"/>
          <c:tx>
            <c:v>Total</c:v>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3"/>
              <c:pt idx="0">
                <c:v>Female</c:v>
              </c:pt>
              <c:pt idx="1">
                <c:v>Male</c:v>
              </c:pt>
              <c:pt idx="2">
                <c:v>Other</c:v>
              </c:pt>
            </c:strLit>
          </c:cat>
          <c:val>
            <c:numLit>
              <c:formatCode>General</c:formatCode>
              <c:ptCount val="3"/>
              <c:pt idx="0">
                <c:v>691</c:v>
              </c:pt>
              <c:pt idx="1">
                <c:v>723</c:v>
              </c:pt>
              <c:pt idx="2">
                <c:v>919</c:v>
              </c:pt>
            </c:numLit>
          </c:val>
          <c:extLst>
            <c:ext xmlns:c16="http://schemas.microsoft.com/office/drawing/2014/chart" uri="{C3380CC4-5D6E-409C-BE32-E72D297353CC}">
              <c16:uniqueId val="{00000000-9F85-4917-AA28-40B8E0588AA5}"/>
            </c:ext>
          </c:extLst>
        </c:ser>
        <c:dLbls>
          <c:dLblPos val="outEnd"/>
          <c:showLegendKey val="0"/>
          <c:showVal val="1"/>
          <c:showCatName val="0"/>
          <c:showSerName val="0"/>
          <c:showPercent val="0"/>
          <c:showBubbleSize val="0"/>
        </c:dLbls>
        <c:gapWidth val="444"/>
        <c:overlap val="-90"/>
        <c:axId val="1902651279"/>
        <c:axId val="1902635439"/>
      </c:barChart>
      <c:catAx>
        <c:axId val="19026512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902635439"/>
        <c:crosses val="autoZero"/>
        <c:auto val="1"/>
        <c:lblAlgn val="ctr"/>
        <c:lblOffset val="100"/>
        <c:noMultiLvlLbl val="0"/>
      </c:catAx>
      <c:valAx>
        <c:axId val="1902635439"/>
        <c:scaling>
          <c:orientation val="minMax"/>
        </c:scaling>
        <c:delete val="1"/>
        <c:axPos val="l"/>
        <c:numFmt formatCode="General" sourceLinked="1"/>
        <c:majorTickMark val="none"/>
        <c:minorTickMark val="none"/>
        <c:tickLblPos val="nextTo"/>
        <c:crossAx val="1902651279"/>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[day-2.xlsx]Sheet7!PivotTable10</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Count of CustomerIncomeGroup</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6580927384076991E-2"/>
          <c:y val="0.25402559055118112"/>
          <c:w val="0.90286351706036749"/>
          <c:h val="0.53774387576552929"/>
        </c:manualLayout>
      </c:layout>
      <c:barChart>
        <c:barDir val="col"/>
        <c:grouping val="clustered"/>
        <c:varyColors val="0"/>
        <c:ser>
          <c:idx val="0"/>
          <c:order val="0"/>
          <c:tx>
            <c:strRef>
              <c:f>Sheet7!$B$3</c:f>
              <c:strCache>
                <c:ptCount val="1"/>
                <c:pt idx="0">
                  <c:v>Count of CustomerIncomeGroup</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Sheet7!$A$4:$A$6</c:f>
              <c:strCache>
                <c:ptCount val="3"/>
                <c:pt idx="0">
                  <c:v>High</c:v>
                </c:pt>
                <c:pt idx="1">
                  <c:v>Low</c:v>
                </c:pt>
                <c:pt idx="2">
                  <c:v>Medium</c:v>
                </c:pt>
              </c:strCache>
            </c:strRef>
          </c:cat>
          <c:val>
            <c:numRef>
              <c:f>Sheet7!$B$4:$B$6</c:f>
              <c:numCache>
                <c:formatCode>General</c:formatCode>
                <c:ptCount val="3"/>
                <c:pt idx="0">
                  <c:v>17</c:v>
                </c:pt>
                <c:pt idx="1">
                  <c:v>21</c:v>
                </c:pt>
                <c:pt idx="2">
                  <c:v>11</c:v>
                </c:pt>
              </c:numCache>
            </c:numRef>
          </c:val>
          <c:extLst>
            <c:ext xmlns:c16="http://schemas.microsoft.com/office/drawing/2014/chart" uri="{C3380CC4-5D6E-409C-BE32-E72D297353CC}">
              <c16:uniqueId val="{00000000-A044-43DD-9FD3-63D9BC5C991D}"/>
            </c:ext>
          </c:extLst>
        </c:ser>
        <c:ser>
          <c:idx val="1"/>
          <c:order val="1"/>
          <c:tx>
            <c:strRef>
              <c:f>Sheet7!$C$3</c:f>
              <c:strCache>
                <c:ptCount val="1"/>
                <c:pt idx="0">
                  <c:v>Sum of TransactionID</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Sheet7!$A$4:$A$6</c:f>
              <c:strCache>
                <c:ptCount val="3"/>
                <c:pt idx="0">
                  <c:v>High</c:v>
                </c:pt>
                <c:pt idx="1">
                  <c:v>Low</c:v>
                </c:pt>
                <c:pt idx="2">
                  <c:v>Medium</c:v>
                </c:pt>
              </c:strCache>
            </c:strRef>
          </c:cat>
          <c:val>
            <c:numRef>
              <c:f>Sheet7!$C$4:$C$6</c:f>
              <c:numCache>
                <c:formatCode>General</c:formatCode>
                <c:ptCount val="3"/>
                <c:pt idx="0">
                  <c:v>393</c:v>
                </c:pt>
                <c:pt idx="1">
                  <c:v>524</c:v>
                </c:pt>
                <c:pt idx="2">
                  <c:v>308</c:v>
                </c:pt>
              </c:numCache>
            </c:numRef>
          </c:val>
          <c:extLst>
            <c:ext xmlns:c16="http://schemas.microsoft.com/office/drawing/2014/chart" uri="{C3380CC4-5D6E-409C-BE32-E72D297353CC}">
              <c16:uniqueId val="{00000001-A044-43DD-9FD3-63D9BC5C991D}"/>
            </c:ext>
          </c:extLst>
        </c:ser>
        <c:ser>
          <c:idx val="2"/>
          <c:order val="2"/>
          <c:tx>
            <c:strRef>
              <c:f>Sheet7!$D$3</c:f>
              <c:strCache>
                <c:ptCount val="1"/>
                <c:pt idx="0">
                  <c:v>Sum of Discount</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Sheet7!$A$4:$A$6</c:f>
              <c:strCache>
                <c:ptCount val="3"/>
                <c:pt idx="0">
                  <c:v>High</c:v>
                </c:pt>
                <c:pt idx="1">
                  <c:v>Low</c:v>
                </c:pt>
                <c:pt idx="2">
                  <c:v>Medium</c:v>
                </c:pt>
              </c:strCache>
            </c:strRef>
          </c:cat>
          <c:val>
            <c:numRef>
              <c:f>Sheet7!$D$4:$D$6</c:f>
              <c:numCache>
                <c:formatCode>0.0%</c:formatCode>
                <c:ptCount val="3"/>
                <c:pt idx="0">
                  <c:v>2.95</c:v>
                </c:pt>
                <c:pt idx="1">
                  <c:v>2.6299999999999994</c:v>
                </c:pt>
                <c:pt idx="2">
                  <c:v>1.3100000000000003</c:v>
                </c:pt>
              </c:numCache>
            </c:numRef>
          </c:val>
          <c:extLst>
            <c:ext xmlns:c16="http://schemas.microsoft.com/office/drawing/2014/chart" uri="{C3380CC4-5D6E-409C-BE32-E72D297353CC}">
              <c16:uniqueId val="{00000003-A044-43DD-9FD3-63D9BC5C991D}"/>
            </c:ext>
          </c:extLst>
        </c:ser>
        <c:dLbls>
          <c:dLblPos val="outEnd"/>
          <c:showLegendKey val="0"/>
          <c:showVal val="1"/>
          <c:showCatName val="0"/>
          <c:showSerName val="0"/>
          <c:showPercent val="0"/>
          <c:showBubbleSize val="0"/>
        </c:dLbls>
        <c:gapWidth val="100"/>
        <c:overlap val="-24"/>
        <c:axId val="1780226095"/>
        <c:axId val="1780237135"/>
      </c:barChart>
      <c:catAx>
        <c:axId val="178022609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80237135"/>
        <c:crosses val="autoZero"/>
        <c:auto val="1"/>
        <c:lblAlgn val="ctr"/>
        <c:lblOffset val="100"/>
        <c:noMultiLvlLbl val="0"/>
      </c:catAx>
      <c:valAx>
        <c:axId val="1780237135"/>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80226095"/>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plotArea>
      <cx:plotAreaRegion>
        <cx:series layoutId="clusteredColumn" uniqueId="{D072C03A-1DC3-4EF7-9F75-E5C62E5FF850}">
          <cx:tx>
            <cx:txData>
              <cx:f>_xlchart.v1.1</cx:f>
              <cx:v>CustomerAge</cx:v>
            </cx:txData>
          </cx:tx>
          <cx:dataLabels pos="inBase">
            <cx:visibility seriesName="0" categoryName="0" value="1"/>
            <cx:separator>, </cx:separator>
          </cx:dataLabels>
          <cx:dataId val="0"/>
          <cx:layoutPr>
            <cx:binning intervalClosed="r"/>
          </cx:layoutPr>
        </cx:series>
      </cx:plotAreaRegion>
      <cx:axis id="0" hidden="1">
        <cx:catScaling gapWidth="0"/>
        <cx:majorTickMarks type="out"/>
        <cx:tickLabels/>
      </cx:axis>
      <cx:axis id="1">
        <cx:valScaling/>
        <cx:majorTickMarks type="out"/>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xdr:row>
      <xdr:rowOff>0</xdr:rowOff>
    </xdr:from>
    <xdr:to>
      <xdr:col>11</xdr:col>
      <xdr:colOff>304800</xdr:colOff>
      <xdr:row>15</xdr:row>
      <xdr:rowOff>76200</xdr:rowOff>
    </xdr:to>
    <xdr:graphicFrame macro="">
      <xdr:nvGraphicFramePr>
        <xdr:cNvPr id="2" name="Chart 1">
          <a:extLst>
            <a:ext uri="{FF2B5EF4-FFF2-40B4-BE49-F238E27FC236}">
              <a16:creationId xmlns:a16="http://schemas.microsoft.com/office/drawing/2014/main" id="{C3A9BAC8-0D8F-CDD9-B3DB-1413ADFF27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11</xdr:row>
      <xdr:rowOff>50416</xdr:rowOff>
    </xdr:from>
    <xdr:to>
      <xdr:col>6</xdr:col>
      <xdr:colOff>304800</xdr:colOff>
      <xdr:row>25</xdr:row>
      <xdr:rowOff>126616</xdr:rowOff>
    </xdr:to>
    <xdr:graphicFrame macro="">
      <xdr:nvGraphicFramePr>
        <xdr:cNvPr id="2" name="Chart 1">
          <a:extLst>
            <a:ext uri="{FF2B5EF4-FFF2-40B4-BE49-F238E27FC236}">
              <a16:creationId xmlns:a16="http://schemas.microsoft.com/office/drawing/2014/main" id="{17865050-9498-399D-3770-DD78E8588D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51567</xdr:colOff>
      <xdr:row>2</xdr:row>
      <xdr:rowOff>26934</xdr:rowOff>
    </xdr:from>
    <xdr:to>
      <xdr:col>3</xdr:col>
      <xdr:colOff>492672</xdr:colOff>
      <xdr:row>8</xdr:row>
      <xdr:rowOff>151086</xdr:rowOff>
    </xdr:to>
    <mc:AlternateContent xmlns:mc="http://schemas.openxmlformats.org/markup-compatibility/2006">
      <mc:Choice xmlns:a14="http://schemas.microsoft.com/office/drawing/2010/main" Requires="a14">
        <xdr:graphicFrame macro="">
          <xdr:nvGraphicFramePr>
            <xdr:cNvPr id="4" name="ProductCategory">
              <a:extLst>
                <a:ext uri="{FF2B5EF4-FFF2-40B4-BE49-F238E27FC236}">
                  <a16:creationId xmlns:a16="http://schemas.microsoft.com/office/drawing/2014/main" id="{B815D2C7-E326-351F-2CDC-7201DD435E62}"/>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dr:sp macro="" textlink="">
          <xdr:nvSpPr>
            <xdr:cNvPr id="0" name=""/>
            <xdr:cNvSpPr>
              <a:spLocks noTextEdit="1"/>
            </xdr:cNvSpPr>
          </xdr:nvSpPr>
          <xdr:spPr>
            <a:xfrm>
              <a:off x="1956567" y="407934"/>
              <a:ext cx="1472433" cy="12671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505809</xdr:colOff>
      <xdr:row>2</xdr:row>
      <xdr:rowOff>59121</xdr:rowOff>
    </xdr:from>
    <xdr:to>
      <xdr:col>5</xdr:col>
      <xdr:colOff>576425</xdr:colOff>
      <xdr:row>8</xdr:row>
      <xdr:rowOff>151086</xdr:rowOff>
    </xdr:to>
    <mc:AlternateContent xmlns:mc="http://schemas.openxmlformats.org/markup-compatibility/2006">
      <mc:Choice xmlns:a14="http://schemas.microsoft.com/office/drawing/2010/main" Requires="a14">
        <xdr:graphicFrame macro="">
          <xdr:nvGraphicFramePr>
            <xdr:cNvPr id="5" name="Quantity">
              <a:extLst>
                <a:ext uri="{FF2B5EF4-FFF2-40B4-BE49-F238E27FC236}">
                  <a16:creationId xmlns:a16="http://schemas.microsoft.com/office/drawing/2014/main" id="{D1AF3BF1-0A13-F80B-6D88-5AD77CFE9819}"/>
                </a:ext>
              </a:extLst>
            </xdr:cNvPr>
            <xdr:cNvGraphicFramePr/>
          </xdr:nvGraphicFramePr>
          <xdr:xfrm>
            <a:off x="0" y="0"/>
            <a:ext cx="0" cy="0"/>
          </xdr:xfrm>
          <a:graphic>
            <a:graphicData uri="http://schemas.microsoft.com/office/drawing/2010/slicer">
              <sle:slicer xmlns:sle="http://schemas.microsoft.com/office/drawing/2010/slicer" name="Quantity"/>
            </a:graphicData>
          </a:graphic>
        </xdr:graphicFrame>
      </mc:Choice>
      <mc:Fallback>
        <xdr:sp macro="" textlink="">
          <xdr:nvSpPr>
            <xdr:cNvPr id="0" name=""/>
            <xdr:cNvSpPr>
              <a:spLocks noTextEdit="1"/>
            </xdr:cNvSpPr>
          </xdr:nvSpPr>
          <xdr:spPr>
            <a:xfrm>
              <a:off x="3442137" y="440121"/>
              <a:ext cx="1292443" cy="12349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664363</xdr:colOff>
      <xdr:row>98</xdr:row>
      <xdr:rowOff>24848</xdr:rowOff>
    </xdr:from>
    <xdr:to>
      <xdr:col>8</xdr:col>
      <xdr:colOff>883315</xdr:colOff>
      <xdr:row>112</xdr:row>
      <xdr:rowOff>180146</xdr:rowOff>
    </xdr:to>
    <xdr:graphicFrame macro="">
      <xdr:nvGraphicFramePr>
        <xdr:cNvPr id="4" name="Chart 3">
          <a:extLst>
            <a:ext uri="{FF2B5EF4-FFF2-40B4-BE49-F238E27FC236}">
              <a16:creationId xmlns:a16="http://schemas.microsoft.com/office/drawing/2014/main" id="{A980BD59-465E-4F4B-B59C-FA21444754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98</xdr:row>
      <xdr:rowOff>33130</xdr:rowOff>
    </xdr:from>
    <xdr:to>
      <xdr:col>4</xdr:col>
      <xdr:colOff>630932</xdr:colOff>
      <xdr:row>112</xdr:row>
      <xdr:rowOff>159027</xdr:rowOff>
    </xdr:to>
    <xdr:graphicFrame macro="">
      <xdr:nvGraphicFramePr>
        <xdr:cNvPr id="6" name="Chart 5">
          <a:extLst>
            <a:ext uri="{FF2B5EF4-FFF2-40B4-BE49-F238E27FC236}">
              <a16:creationId xmlns:a16="http://schemas.microsoft.com/office/drawing/2014/main" id="{0326899E-2F96-4FBA-B810-111672C9E8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924486</xdr:colOff>
      <xdr:row>98</xdr:row>
      <xdr:rowOff>79561</xdr:rowOff>
    </xdr:from>
    <xdr:to>
      <xdr:col>11</xdr:col>
      <xdr:colOff>778810</xdr:colOff>
      <xdr:row>112</xdr:row>
      <xdr:rowOff>155761</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7EC58DB0-D4A1-493F-7246-722BD0B8253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317692" y="23074032"/>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4.75532488426" createdVersion="8" refreshedVersion="8" minRefreshableVersion="3" recordCount="7" xr:uid="{4359B676-EF88-470B-968E-1509319A0E0D}">
  <cacheSource type="worksheet">
    <worksheetSource ref="J11:L18" sheet="Sheet1"/>
  </cacheSource>
  <cacheFields count="3">
    <cacheField name="ProductId" numFmtId="0">
      <sharedItems/>
    </cacheField>
    <cacheField name="ProductName" numFmtId="0">
      <sharedItems/>
    </cacheField>
    <cacheField name="price" numFmtId="0">
      <sharedItems containsSemiMixedTypes="0" containsString="0" containsNumber="1" containsInteger="1" minValue="1000" maxValue="10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5.776691435189" createdVersion="8" refreshedVersion="8" minRefreshableVersion="3" recordCount="49" xr:uid="{0338E90C-B70F-468B-948E-3C605EFCA690}">
  <cacheSource type="worksheet">
    <worksheetSource ref="A49:N98" sheet="Sheet1"/>
  </cacheSource>
  <cacheFields count="14">
    <cacheField name="TransactionID" numFmtId="0">
      <sharedItems containsSemiMixedTypes="0" containsString="0" containsNumber="1" containsInteger="1" minValue="1" maxValue="49"/>
    </cacheField>
    <cacheField name="CustomerID" numFmtId="0">
      <sharedItems containsSemiMixedTypes="0" containsString="0" containsNumber="1" containsInteger="1" minValue="1189" maxValue="9838"/>
    </cacheField>
    <cacheField name="ProductID" numFmtId="0">
      <sharedItems containsSemiMixedTypes="0" containsString="0" containsNumber="1" containsInteger="1" minValue="101" maxValue="951"/>
    </cacheField>
    <cacheField name="ProductCategory" numFmtId="0">
      <sharedItems count="7">
        <s v="Clothing"/>
        <s v="Beauty"/>
        <s v="Toys"/>
        <s v="Electronics"/>
        <s v="Books"/>
        <s v="Sports"/>
        <s v="Home &amp; Kitchen"/>
      </sharedItems>
    </cacheField>
    <cacheField name="Quantity" numFmtId="166">
      <sharedItems containsSemiMixedTypes="0" containsString="0" containsNumber="1" containsInteger="1" minValue="1" maxValue="4"/>
    </cacheField>
    <cacheField name="Price" numFmtId="164">
      <sharedItems containsSemiMixedTypes="0" containsString="0" containsNumber="1" minValue="6.58" maxValue="984.98"/>
    </cacheField>
    <cacheField name="Discount" numFmtId="167">
      <sharedItems containsSemiMixedTypes="0" containsString="0" containsNumber="1" minValue="0.01" maxValue="0.28999999999999998"/>
    </cacheField>
    <cacheField name="TransactionDate" numFmtId="165">
      <sharedItems containsSemiMixedTypes="0" containsNonDate="0" containsDate="1" containsString="0" minDate="2023-09-11T13:03:06" maxDate="2024-08-26T07:33:38" count="49">
        <d v="2023-12-22T10:35:26"/>
        <d v="2024-05-05T10:40:33"/>
        <d v="2023-12-04T05:22:59"/>
        <d v="2024-01-02T11:11:00"/>
        <d v="2024-06-18T01:01:29"/>
        <d v="2024-03-06T06:15:28"/>
        <d v="2023-10-15T13:30:31"/>
        <d v="2024-05-16T01:46:00"/>
        <d v="2024-08-04T17:13:39"/>
        <d v="2023-12-18T18:38:53"/>
        <d v="2024-05-26T02:56:46"/>
        <d v="2023-09-26T05:18:30"/>
        <d v="2023-12-13T23:53:52"/>
        <d v="2023-12-02T07:44:27"/>
        <d v="2024-03-01T17:49:13"/>
        <d v="2024-08-12T12:13:05"/>
        <d v="2024-07-24T08:49:00"/>
        <d v="2024-06-14T18:03:29"/>
        <d v="2024-03-02T05:18:42"/>
        <d v="2024-05-19T13:22:45"/>
        <d v="2024-05-13T10:04:09"/>
        <d v="2024-04-05T20:50:36"/>
        <d v="2023-11-17T05:30:14"/>
        <d v="2024-08-05T14:07:57"/>
        <d v="2024-02-24T01:14:50"/>
        <d v="2024-03-04T09:18:55"/>
        <d v="2023-10-26T07:12:09"/>
        <d v="2024-08-04T12:39:59"/>
        <d v="2024-05-06T01:39:20"/>
        <d v="2023-10-23T11:34:13"/>
        <d v="2024-01-10T02:42:31"/>
        <d v="2024-05-10T18:45:11"/>
        <d v="2024-06-26T03:10:11"/>
        <d v="2023-09-16T17:22:21"/>
        <d v="2023-11-18T18:04:26"/>
        <d v="2024-01-14T01:16:35"/>
        <d v="2023-11-12T01:30:26"/>
        <d v="2024-08-17T13:48:43"/>
        <d v="2023-12-19T01:35:37"/>
        <d v="2023-11-20T20:28:37"/>
        <d v="2024-08-26T07:33:38"/>
        <d v="2024-05-24T07:56:09"/>
        <d v="2023-10-12T07:30:30"/>
        <d v="2023-11-26T19:53:06"/>
        <d v="2024-07-26T23:44:49"/>
        <d v="2024-05-27T01:53:06"/>
        <d v="2023-09-24T06:40:27"/>
        <d v="2023-09-11T13:03:06"/>
        <d v="2024-06-08T03:49:08"/>
      </sharedItems>
    </cacheField>
    <cacheField name="PaymentMethod" numFmtId="0">
      <sharedItems count="5">
        <s v="Cash on Delivery"/>
        <s v="Debit Card"/>
        <s v="Bank Transfer"/>
        <s v="Credit Card"/>
        <s v="PayPal"/>
      </sharedItems>
    </cacheField>
    <cacheField name="CustomerLocation" numFmtId="0">
      <sharedItems/>
    </cacheField>
    <cacheField name="CustomerAge" numFmtId="0">
      <sharedItems containsSemiMixedTypes="0" containsString="0" containsNumber="1" containsInteger="1" minValue="20" maxValue="69"/>
    </cacheField>
    <cacheField name="CustomerGender" numFmtId="0">
      <sharedItems/>
    </cacheField>
    <cacheField name="CustomerIncomeGroup" numFmtId="0">
      <sharedItems count="3">
        <s v="Medium"/>
        <s v="High"/>
        <s v="Low"/>
      </sharedItems>
    </cacheField>
    <cacheField name="CustomerLoyaltyScore" numFmtId="2">
      <sharedItems containsSemiMixedTypes="0" containsString="0" containsNumber="1" minValue="0.53" maxValue="98.52"/>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5.777538888891" createdVersion="8" refreshedVersion="8" minRefreshableVersion="3" recordCount="49" xr:uid="{CFCEBA57-5652-4489-B518-2D685FFA75EF}">
  <cacheSource type="worksheet">
    <worksheetSource ref="A49:N98" sheet="Sheet1"/>
  </cacheSource>
  <cacheFields count="14">
    <cacheField name="TransactionID" numFmtId="0">
      <sharedItems containsSemiMixedTypes="0" containsString="0" containsNumber="1" containsInteger="1" minValue="1" maxValue="49"/>
    </cacheField>
    <cacheField name="CustomerID" numFmtId="0">
      <sharedItems containsSemiMixedTypes="0" containsString="0" containsNumber="1" containsInteger="1" minValue="1189" maxValue="9838"/>
    </cacheField>
    <cacheField name="ProductID" numFmtId="0">
      <sharedItems containsSemiMixedTypes="0" containsString="0" containsNumber="1" containsInteger="1" minValue="101" maxValue="951"/>
    </cacheField>
    <cacheField name="ProductCategory" numFmtId="0">
      <sharedItems/>
    </cacheField>
    <cacheField name="Quantity" numFmtId="166">
      <sharedItems containsSemiMixedTypes="0" containsString="0" containsNumber="1" containsInteger="1" minValue="1" maxValue="4"/>
    </cacheField>
    <cacheField name="Price" numFmtId="164">
      <sharedItems containsSemiMixedTypes="0" containsString="0" containsNumber="1" minValue="6.58" maxValue="984.98"/>
    </cacheField>
    <cacheField name="Discount" numFmtId="167">
      <sharedItems containsSemiMixedTypes="0" containsString="0" containsNumber="1" minValue="0.01" maxValue="0.28999999999999998"/>
    </cacheField>
    <cacheField name="TransactionDate" numFmtId="165">
      <sharedItems containsSemiMixedTypes="0" containsNonDate="0" containsDate="1" containsString="0" minDate="2023-09-11T13:03:06" maxDate="2024-08-26T07:33:38"/>
    </cacheField>
    <cacheField name="PaymentMethod" numFmtId="0">
      <sharedItems count="5">
        <s v="Cash on Delivery"/>
        <s v="Debit Card"/>
        <s v="Bank Transfer"/>
        <s v="Credit Card"/>
        <s v="PayPal"/>
      </sharedItems>
    </cacheField>
    <cacheField name="CustomerLocation" numFmtId="0">
      <sharedItems/>
    </cacheField>
    <cacheField name="CustomerAge" numFmtId="0">
      <sharedItems containsSemiMixedTypes="0" containsString="0" containsNumber="1" containsInteger="1" minValue="20" maxValue="69"/>
    </cacheField>
    <cacheField name="CustomerGender" numFmtId="0">
      <sharedItems/>
    </cacheField>
    <cacheField name="CustomerIncomeGroup" numFmtId="0">
      <sharedItems/>
    </cacheField>
    <cacheField name="CustomerLoyaltyScore" numFmtId="2">
      <sharedItems containsSemiMixedTypes="0" containsString="0" containsNumber="1" minValue="0.53" maxValue="98.52"/>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5.779790046297" createdVersion="8" refreshedVersion="8" minRefreshableVersion="3" recordCount="49" xr:uid="{109AABF8-1640-4249-91F7-E988B2F7D1EC}">
  <cacheSource type="worksheet">
    <worksheetSource ref="A49:N98" sheet="Sheet1"/>
  </cacheSource>
  <cacheFields count="14">
    <cacheField name="TransactionID" numFmtId="0">
      <sharedItems containsSemiMixedTypes="0" containsString="0" containsNumber="1" containsInteger="1" minValue="1" maxValue="49"/>
    </cacheField>
    <cacheField name="CustomerID" numFmtId="0">
      <sharedItems containsSemiMixedTypes="0" containsString="0" containsNumber="1" containsInteger="1" minValue="1189" maxValue="9838"/>
    </cacheField>
    <cacheField name="ProductID" numFmtId="0">
      <sharedItems containsSemiMixedTypes="0" containsString="0" containsNumber="1" containsInteger="1" minValue="101" maxValue="951"/>
    </cacheField>
    <cacheField name="ProductCategory" numFmtId="0">
      <sharedItems/>
    </cacheField>
    <cacheField name="Quantity" numFmtId="166">
      <sharedItems containsSemiMixedTypes="0" containsString="0" containsNumber="1" containsInteger="1" minValue="1" maxValue="4"/>
    </cacheField>
    <cacheField name="Price" numFmtId="164">
      <sharedItems containsSemiMixedTypes="0" containsString="0" containsNumber="1" minValue="6.58" maxValue="984.98"/>
    </cacheField>
    <cacheField name="Discount" numFmtId="167">
      <sharedItems containsSemiMixedTypes="0" containsString="0" containsNumber="1" minValue="0.01" maxValue="0.28999999999999998"/>
    </cacheField>
    <cacheField name="TransactionDate" numFmtId="165">
      <sharedItems containsSemiMixedTypes="0" containsNonDate="0" containsDate="1" containsString="0" minDate="2023-09-11T13:03:06" maxDate="2024-08-26T07:33:38"/>
    </cacheField>
    <cacheField name="PaymentMethod" numFmtId="0">
      <sharedItems/>
    </cacheField>
    <cacheField name="CustomerLocation" numFmtId="0">
      <sharedItems/>
    </cacheField>
    <cacheField name="CustomerAge" numFmtId="0">
      <sharedItems containsSemiMixedTypes="0" containsString="0" containsNumber="1" containsInteger="1" minValue="20" maxValue="69"/>
    </cacheField>
    <cacheField name="CustomerGender" numFmtId="0">
      <sharedItems count="3">
        <s v="Female"/>
        <s v="Other"/>
        <s v="Male"/>
      </sharedItems>
    </cacheField>
    <cacheField name="CustomerIncomeGroup" numFmtId="0">
      <sharedItems/>
    </cacheField>
    <cacheField name="CustomerLoyaltyScore" numFmtId="2">
      <sharedItems containsSemiMixedTypes="0" containsString="0" containsNumber="1" minValue="0.53" maxValue="98.52"/>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7.663008796299" createdVersion="8" refreshedVersion="8" minRefreshableVersion="3" recordCount="49" xr:uid="{F34DC6E4-A0D3-4EE4-B016-241A1743573B}">
  <cacheSource type="worksheet">
    <worksheetSource ref="A49:R98" sheet="Sheet1"/>
  </cacheSource>
  <cacheFields count="18">
    <cacheField name="TransactionID" numFmtId="0">
      <sharedItems containsSemiMixedTypes="0" containsString="0" containsNumber="1" containsInteger="1" minValue="1" maxValue="49"/>
    </cacheField>
    <cacheField name="CustomerID" numFmtId="0">
      <sharedItems containsSemiMixedTypes="0" containsString="0" containsNumber="1" containsInteger="1" minValue="1189" maxValue="9838"/>
    </cacheField>
    <cacheField name="ProductID" numFmtId="0">
      <sharedItems containsSemiMixedTypes="0" containsString="0" containsNumber="1" containsInteger="1" minValue="101" maxValue="951"/>
    </cacheField>
    <cacheField name="ProductCategory" numFmtId="0">
      <sharedItems count="7">
        <s v="Clothing"/>
        <s v="Beauty"/>
        <s v="Toys"/>
        <s v="Electronics"/>
        <s v="Books"/>
        <s v="Sports"/>
        <s v="Home &amp; Kitchen"/>
      </sharedItems>
    </cacheField>
    <cacheField name="Quantity" numFmtId="170">
      <sharedItems containsSemiMixedTypes="0" containsString="0" containsNumber="1" containsInteger="1" minValue="1" maxValue="4" count="4">
        <n v="1"/>
        <n v="2"/>
        <n v="3"/>
        <n v="4"/>
      </sharedItems>
    </cacheField>
    <cacheField name="Price" numFmtId="164">
      <sharedItems containsSemiMixedTypes="0" containsString="0" containsNumber="1" minValue="6.58" maxValue="984.98"/>
    </cacheField>
    <cacheField name="Discount" numFmtId="167">
      <sharedItems containsSemiMixedTypes="0" containsString="0" containsNumber="1" minValue="0.01" maxValue="0.28999999999999998"/>
    </cacheField>
    <cacheField name="TransactionDate" numFmtId="165">
      <sharedItems containsSemiMixedTypes="0" containsNonDate="0" containsDate="1" containsString="0" minDate="2023-09-11T13:03:06" maxDate="2024-08-26T07:33:38" count="49">
        <d v="2023-12-22T10:35:26"/>
        <d v="2024-05-05T10:40:33"/>
        <d v="2023-12-04T05:22:59"/>
        <d v="2024-01-02T11:11:00"/>
        <d v="2024-06-18T01:01:29"/>
        <d v="2024-03-06T06:15:28"/>
        <d v="2023-10-15T13:30:31"/>
        <d v="2024-05-16T01:46:00"/>
        <d v="2024-08-04T17:13:39"/>
        <d v="2023-12-18T18:38:53"/>
        <d v="2024-05-26T02:56:46"/>
        <d v="2023-09-26T05:18:30"/>
        <d v="2023-12-13T23:53:52"/>
        <d v="2023-12-02T07:44:27"/>
        <d v="2024-03-01T17:49:13"/>
        <d v="2024-08-12T12:13:05"/>
        <d v="2024-07-24T08:49:00"/>
        <d v="2024-06-14T18:03:29"/>
        <d v="2024-03-02T05:18:42"/>
        <d v="2024-05-19T13:22:45"/>
        <d v="2024-05-13T10:04:09"/>
        <d v="2024-04-05T20:50:36"/>
        <d v="2023-11-17T05:30:14"/>
        <d v="2024-08-05T14:07:57"/>
        <d v="2024-02-24T01:14:50"/>
        <d v="2024-03-04T09:18:55"/>
        <d v="2023-10-26T07:12:09"/>
        <d v="2024-08-04T12:39:59"/>
        <d v="2024-05-06T01:39:20"/>
        <d v="2023-10-23T11:34:13"/>
        <d v="2024-01-10T02:42:31"/>
        <d v="2024-05-10T18:45:11"/>
        <d v="2024-06-26T03:10:11"/>
        <d v="2023-09-16T17:22:21"/>
        <d v="2023-11-18T18:04:26"/>
        <d v="2024-01-14T01:16:35"/>
        <d v="2023-11-12T01:30:26"/>
        <d v="2024-08-17T13:48:43"/>
        <d v="2023-12-19T01:35:37"/>
        <d v="2023-11-20T20:28:37"/>
        <d v="2024-08-26T07:33:38"/>
        <d v="2024-05-24T07:56:09"/>
        <d v="2023-10-12T07:30:30"/>
        <d v="2023-11-26T19:53:06"/>
        <d v="2024-07-26T23:44:49"/>
        <d v="2024-05-27T01:53:06"/>
        <d v="2023-09-24T06:40:27"/>
        <d v="2023-09-11T13:03:06"/>
        <d v="2024-06-08T03:49:08"/>
      </sharedItems>
    </cacheField>
    <cacheField name="PaymentMethod" numFmtId="0">
      <sharedItems/>
    </cacheField>
    <cacheField name="CustomerLocation" numFmtId="0">
      <sharedItems/>
    </cacheField>
    <cacheField name="CustomerAge" numFmtId="0">
      <sharedItems containsSemiMixedTypes="0" containsString="0" containsNumber="1" containsInteger="1" minValue="20" maxValue="69"/>
    </cacheField>
    <cacheField name="CustomerGender" numFmtId="0">
      <sharedItems/>
    </cacheField>
    <cacheField name="CustomerIncomeGroup" numFmtId="0">
      <sharedItems count="3">
        <s v="Medium"/>
        <s v="High"/>
        <s v="Low"/>
      </sharedItems>
    </cacheField>
    <cacheField name="CustomerLoyaltyScore" numFmtId="2">
      <sharedItems containsSemiMixedTypes="0" containsString="0" containsNumber="1" minValue="-44.5" maxValue="98.52"/>
    </cacheField>
    <cacheField name="feedback" numFmtId="0">
      <sharedItems containsSemiMixedTypes="0" containsString="0" containsNumber="1" containsInteger="1" minValue="4" maxValue="5"/>
    </cacheField>
    <cacheField name="Region" numFmtId="0">
      <sharedItems/>
    </cacheField>
    <cacheField name="Sales" numFmtId="0">
      <sharedItems containsSemiMixedTypes="0" containsString="0" containsNumber="1" containsInteger="1" minValue="2200" maxValue="8800"/>
    </cacheField>
    <cacheField name="Profit" numFmtId="0">
      <sharedItems containsSemiMixedTypes="0" containsString="0" containsNumber="1" containsInteger="1" minValue="-100" maxValue="2800"/>
    </cacheField>
  </cacheFields>
  <extLst>
    <ext xmlns:x14="http://schemas.microsoft.com/office/spreadsheetml/2009/9/main" uri="{725AE2AE-9491-48be-B2B4-4EB974FC3084}">
      <x14:pivotCacheDefinition pivotCacheId="1501637475"/>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7.667757060182" createdVersion="8" refreshedVersion="8" minRefreshableVersion="3" recordCount="49" xr:uid="{95CE6DD3-1E8C-43BA-9057-808BF865D491}">
  <cacheSource type="worksheet">
    <worksheetSource ref="A49:R98" sheet="Sheet1"/>
  </cacheSource>
  <cacheFields count="18">
    <cacheField name="TransactionID" numFmtId="0">
      <sharedItems containsSemiMixedTypes="0" containsString="0" containsNumber="1" containsInteger="1" minValue="1" maxValue="49"/>
    </cacheField>
    <cacheField name="CustomerID" numFmtId="0">
      <sharedItems containsSemiMixedTypes="0" containsString="0" containsNumber="1" containsInteger="1" minValue="1189" maxValue="9838"/>
    </cacheField>
    <cacheField name="ProductID" numFmtId="0">
      <sharedItems containsSemiMixedTypes="0" containsString="0" containsNumber="1" containsInteger="1" minValue="101" maxValue="951"/>
    </cacheField>
    <cacheField name="ProductCategory" numFmtId="0">
      <sharedItems/>
    </cacheField>
    <cacheField name="Quantity" numFmtId="170">
      <sharedItems containsSemiMixedTypes="0" containsString="0" containsNumber="1" containsInteger="1" minValue="1" maxValue="4"/>
    </cacheField>
    <cacheField name="Price" numFmtId="164">
      <sharedItems containsSemiMixedTypes="0" containsString="0" containsNumber="1" minValue="6.58" maxValue="984.98"/>
    </cacheField>
    <cacheField name="Discount" numFmtId="167">
      <sharedItems containsSemiMixedTypes="0" containsString="0" containsNumber="1" minValue="0.01" maxValue="0.28999999999999998"/>
    </cacheField>
    <cacheField name="TransactionDate" numFmtId="165">
      <sharedItems containsSemiMixedTypes="0" containsNonDate="0" containsDate="1" containsString="0" minDate="2023-09-11T13:03:06" maxDate="2024-08-26T07:33:38"/>
    </cacheField>
    <cacheField name="PaymentMethod" numFmtId="0">
      <sharedItems/>
    </cacheField>
    <cacheField name="CustomerLocation" numFmtId="0">
      <sharedItems/>
    </cacheField>
    <cacheField name="CustomerAge" numFmtId="0">
      <sharedItems containsSemiMixedTypes="0" containsString="0" containsNumber="1" containsInteger="1" minValue="20" maxValue="69"/>
    </cacheField>
    <cacheField name="CustomerGender" numFmtId="0">
      <sharedItems count="3">
        <s v="Female"/>
        <s v="Other"/>
        <s v="Male"/>
      </sharedItems>
    </cacheField>
    <cacheField name="CustomerIncomeGroup" numFmtId="0">
      <sharedItems/>
    </cacheField>
    <cacheField name="CustomerLoyaltyScore" numFmtId="2">
      <sharedItems containsSemiMixedTypes="0" containsString="0" containsNumber="1" minValue="-44.5" maxValue="98.52"/>
    </cacheField>
    <cacheField name="feedback" numFmtId="0">
      <sharedItems containsSemiMixedTypes="0" containsString="0" containsNumber="1" containsInteger="1" minValue="4" maxValue="5"/>
    </cacheField>
    <cacheField name="Region" numFmtId="0">
      <sharedItems/>
    </cacheField>
    <cacheField name="Sales" numFmtId="0">
      <sharedItems containsSemiMixedTypes="0" containsString="0" containsNumber="1" containsInteger="1" minValue="2200" maxValue="8800"/>
    </cacheField>
    <cacheField name="Profit" numFmtId="0">
      <sharedItems containsSemiMixedTypes="0" containsString="0" containsNumber="1" containsInteger="1" minValue="-100" maxValue="2800"/>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7.679353472224" createdVersion="8" refreshedVersion="8" minRefreshableVersion="3" recordCount="20" xr:uid="{E16B106E-F900-4DAB-94ED-56461A6BE5D5}">
  <cacheSource type="worksheet">
    <worksheetSource ref="Q135:Q155" sheet="Sheet1"/>
  </cacheSource>
  <cacheFields count="1">
    <cacheField name="date" numFmtId="165">
      <sharedItems containsSemiMixedTypes="0" containsNonDate="0" containsDate="1" containsString="0" minDate="2026-06-01T00:00:00" maxDate="2026-06-21T00:00:00" count="2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s v="p1001"/>
    <s v="Headphones"/>
    <n v="1000"/>
  </r>
  <r>
    <s v="p1002"/>
    <s v="Iphone"/>
    <n v="50000"/>
  </r>
  <r>
    <s v="p1003"/>
    <s v="Airpods"/>
    <n v="10000"/>
  </r>
  <r>
    <s v="p1004"/>
    <s v="Samsung"/>
    <n v="20000"/>
  </r>
  <r>
    <s v="p1005"/>
    <s v="MacBook"/>
    <n v="100000"/>
  </r>
  <r>
    <s v="p1006"/>
    <s v="Apple"/>
    <n v="50000"/>
  </r>
  <r>
    <s v="p1007"/>
    <s v="Samsung"/>
    <n v="20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n v="1"/>
    <n v="8270"/>
    <n v="295"/>
    <x v="0"/>
    <n v="1"/>
    <n v="801.66"/>
    <n v="0.13"/>
    <x v="0"/>
    <x v="0"/>
    <s v="New Juan"/>
    <n v="46"/>
    <s v="Female"/>
    <x v="0"/>
    <n v="83.36"/>
  </r>
  <r>
    <n v="2"/>
    <n v="1860"/>
    <n v="546"/>
    <x v="1"/>
    <n v="1"/>
    <n v="225.03"/>
    <n v="0.06"/>
    <x v="1"/>
    <x v="1"/>
    <s v="South Julie"/>
    <n v="59"/>
    <s v="Other"/>
    <x v="1"/>
    <n v="58.88"/>
  </r>
  <r>
    <n v="3"/>
    <n v="6390"/>
    <n v="430"/>
    <x v="2"/>
    <n v="2"/>
    <n v="544.99"/>
    <n v="0.24"/>
    <x v="2"/>
    <x v="1"/>
    <s v="West Carrieview"/>
    <n v="61"/>
    <s v="Female"/>
    <x v="1"/>
    <n v="53.99"/>
  </r>
  <r>
    <n v="4"/>
    <n v="6191"/>
    <n v="807"/>
    <x v="1"/>
    <n v="2"/>
    <n v="157.02000000000001"/>
    <n v="0.01"/>
    <x v="3"/>
    <x v="2"/>
    <s v="Christianberg"/>
    <n v="69"/>
    <s v="Female"/>
    <x v="2"/>
    <n v="11.73"/>
  </r>
  <r>
    <n v="5"/>
    <n v="6734"/>
    <n v="319"/>
    <x v="3"/>
    <n v="2"/>
    <n v="155.51"/>
    <n v="0.14000000000000001"/>
    <x v="4"/>
    <x v="1"/>
    <s v="South Williamhaven"/>
    <n v="29"/>
    <s v="Other"/>
    <x v="1"/>
    <n v="34.79"/>
  </r>
  <r>
    <n v="6"/>
    <n v="7265"/>
    <n v="282"/>
    <x v="4"/>
    <n v="3"/>
    <n v="225.65"/>
    <n v="0.18"/>
    <x v="5"/>
    <x v="2"/>
    <s v="Stephenfort"/>
    <n v="60"/>
    <s v="Male"/>
    <x v="1"/>
    <n v="25.78"/>
  </r>
  <r>
    <n v="7"/>
    <n v="1466"/>
    <n v="276"/>
    <x v="1"/>
    <n v="3"/>
    <n v="631.96"/>
    <n v="0.09"/>
    <x v="6"/>
    <x v="3"/>
    <s v="North Terristad"/>
    <n v="69"/>
    <s v="Male"/>
    <x v="2"/>
    <n v="68.36"/>
  </r>
  <r>
    <n v="8"/>
    <n v="5426"/>
    <n v="574"/>
    <x v="5"/>
    <n v="1"/>
    <n v="522.87"/>
    <n v="0.28999999999999998"/>
    <x v="7"/>
    <x v="0"/>
    <s v="Pachecotown"/>
    <n v="45"/>
    <s v="Female"/>
    <x v="1"/>
    <n v="19.23"/>
  </r>
  <r>
    <n v="9"/>
    <n v="6578"/>
    <n v="948"/>
    <x v="4"/>
    <n v="4"/>
    <n v="202.66"/>
    <n v="0.12"/>
    <x v="8"/>
    <x v="0"/>
    <s v="Port Philipberg"/>
    <n v="37"/>
    <s v="Male"/>
    <x v="2"/>
    <n v="28.61"/>
  </r>
  <r>
    <n v="10"/>
    <n v="9322"/>
    <n v="459"/>
    <x v="2"/>
    <n v="3"/>
    <n v="401.52"/>
    <n v="0.23"/>
    <x v="9"/>
    <x v="0"/>
    <s v="Jenniferfurt"/>
    <n v="67"/>
    <s v="Female"/>
    <x v="2"/>
    <n v="35.18"/>
  </r>
  <r>
    <n v="11"/>
    <n v="2685"/>
    <n v="745"/>
    <x v="0"/>
    <n v="3"/>
    <n v="346.31"/>
    <n v="0.06"/>
    <x v="10"/>
    <x v="0"/>
    <s v="Lake Carolyn"/>
    <n v="36"/>
    <s v="Other"/>
    <x v="2"/>
    <n v="76.819999999999993"/>
  </r>
  <r>
    <n v="12"/>
    <n v="1769"/>
    <n v="564"/>
    <x v="5"/>
    <n v="1"/>
    <n v="434.15"/>
    <n v="0.05"/>
    <x v="11"/>
    <x v="2"/>
    <s v="Amandaborough"/>
    <n v="61"/>
    <s v="Other"/>
    <x v="1"/>
    <n v="26.24"/>
  </r>
  <r>
    <n v="13"/>
    <n v="7949"/>
    <n v="334"/>
    <x v="3"/>
    <n v="3"/>
    <n v="189.87"/>
    <n v="0.25"/>
    <x v="12"/>
    <x v="3"/>
    <s v="South Maria"/>
    <n v="65"/>
    <s v="Other"/>
    <x v="2"/>
    <n v="39.909999999999997"/>
  </r>
  <r>
    <n v="14"/>
    <n v="3433"/>
    <n v="536"/>
    <x v="6"/>
    <n v="1"/>
    <n v="559.1"/>
    <n v="0.15"/>
    <x v="13"/>
    <x v="1"/>
    <s v="West Marissa"/>
    <n v="35"/>
    <s v="Male"/>
    <x v="2"/>
    <n v="69.39"/>
  </r>
  <r>
    <n v="15"/>
    <n v="6311"/>
    <n v="239"/>
    <x v="2"/>
    <n v="3"/>
    <n v="29.01"/>
    <n v="0.26"/>
    <x v="14"/>
    <x v="0"/>
    <s v="Austinburgh"/>
    <n v="20"/>
    <s v="Other"/>
    <x v="1"/>
    <n v="10.33"/>
  </r>
  <r>
    <n v="16"/>
    <n v="6051"/>
    <n v="587"/>
    <x v="2"/>
    <n v="2"/>
    <n v="541.5"/>
    <n v="0.22"/>
    <x v="15"/>
    <x v="2"/>
    <s v="Lake Jesse"/>
    <n v="46"/>
    <s v="Other"/>
    <x v="2"/>
    <n v="41.77"/>
  </r>
  <r>
    <n v="17"/>
    <n v="7420"/>
    <n v="868"/>
    <x v="1"/>
    <n v="4"/>
    <n v="218.68"/>
    <n v="0.19"/>
    <x v="16"/>
    <x v="3"/>
    <s v="Marioburgh"/>
    <n v="21"/>
    <s v="Other"/>
    <x v="0"/>
    <n v="9.93"/>
  </r>
  <r>
    <n v="18"/>
    <n v="2184"/>
    <n v="384"/>
    <x v="0"/>
    <n v="2"/>
    <n v="439.07"/>
    <n v="0.26"/>
    <x v="17"/>
    <x v="4"/>
    <s v="Ryanhaven"/>
    <n v="23"/>
    <s v="Other"/>
    <x v="0"/>
    <n v="97.73"/>
  </r>
  <r>
    <n v="19"/>
    <n v="5555"/>
    <n v="701"/>
    <x v="4"/>
    <n v="4"/>
    <n v="849.82"/>
    <n v="0.12"/>
    <x v="18"/>
    <x v="0"/>
    <s v="Dickersonmouth"/>
    <n v="52"/>
    <s v="Female"/>
    <x v="2"/>
    <n v="54.32"/>
  </r>
  <r>
    <n v="20"/>
    <n v="4385"/>
    <n v="427"/>
    <x v="3"/>
    <n v="1"/>
    <n v="886.69"/>
    <n v="0.28000000000000003"/>
    <x v="19"/>
    <x v="1"/>
    <s v="Annaborough"/>
    <n v="46"/>
    <s v="Other"/>
    <x v="2"/>
    <n v="57.35"/>
  </r>
  <r>
    <n v="21"/>
    <n v="7396"/>
    <n v="150"/>
    <x v="2"/>
    <n v="2"/>
    <n v="137.79"/>
    <n v="0.04"/>
    <x v="20"/>
    <x v="3"/>
    <s v="Ramirezburgh"/>
    <n v="60"/>
    <s v="Male"/>
    <x v="0"/>
    <n v="41.08"/>
  </r>
  <r>
    <n v="22"/>
    <n v="9666"/>
    <n v="797"/>
    <x v="3"/>
    <n v="4"/>
    <n v="6.58"/>
    <n v="0.04"/>
    <x v="21"/>
    <x v="4"/>
    <s v="Sextonberg"/>
    <n v="54"/>
    <s v="Female"/>
    <x v="0"/>
    <n v="88.02"/>
  </r>
  <r>
    <n v="23"/>
    <n v="3558"/>
    <n v="577"/>
    <x v="2"/>
    <n v="3"/>
    <n v="888.2"/>
    <n v="0.04"/>
    <x v="22"/>
    <x v="0"/>
    <s v="Beasleyshire"/>
    <n v="29"/>
    <s v="Other"/>
    <x v="0"/>
    <n v="67.510000000000005"/>
  </r>
  <r>
    <n v="24"/>
    <n v="8849"/>
    <n v="385"/>
    <x v="2"/>
    <n v="4"/>
    <n v="109.35"/>
    <n v="0.15"/>
    <x v="23"/>
    <x v="1"/>
    <s v="Lake Brittneyland"/>
    <n v="45"/>
    <s v="Female"/>
    <x v="1"/>
    <n v="18.760000000000002"/>
  </r>
  <r>
    <n v="25"/>
    <n v="3047"/>
    <n v="419"/>
    <x v="3"/>
    <n v="4"/>
    <n v="144.08000000000001"/>
    <n v="0.28000000000000003"/>
    <x v="24"/>
    <x v="0"/>
    <s v="South John"/>
    <n v="38"/>
    <s v="Male"/>
    <x v="1"/>
    <n v="33.4"/>
  </r>
  <r>
    <n v="26"/>
    <n v="3747"/>
    <n v="733"/>
    <x v="5"/>
    <n v="4"/>
    <n v="576.59"/>
    <n v="0.2"/>
    <x v="25"/>
    <x v="2"/>
    <s v="New Devin"/>
    <n v="52"/>
    <s v="Male"/>
    <x v="2"/>
    <n v="21.91"/>
  </r>
  <r>
    <n v="27"/>
    <n v="1189"/>
    <n v="278"/>
    <x v="3"/>
    <n v="3"/>
    <n v="954.41"/>
    <n v="0.11"/>
    <x v="26"/>
    <x v="4"/>
    <s v="Lake Denise"/>
    <n v="66"/>
    <s v="Male"/>
    <x v="2"/>
    <n v="81.489999999999995"/>
  </r>
  <r>
    <n v="28"/>
    <n v="3734"/>
    <n v="231"/>
    <x v="6"/>
    <n v="3"/>
    <n v="513.82000000000005"/>
    <n v="0.05"/>
    <x v="27"/>
    <x v="3"/>
    <s v="South Susan"/>
    <n v="34"/>
    <s v="Male"/>
    <x v="2"/>
    <n v="77.27"/>
  </r>
  <r>
    <n v="29"/>
    <n v="4005"/>
    <n v="699"/>
    <x v="5"/>
    <n v="1"/>
    <n v="767.89"/>
    <n v="0.11"/>
    <x v="28"/>
    <x v="3"/>
    <s v="Johnsonchester"/>
    <n v="52"/>
    <s v="Other"/>
    <x v="1"/>
    <n v="26.78"/>
  </r>
  <r>
    <n v="30"/>
    <n v="5658"/>
    <n v="829"/>
    <x v="1"/>
    <n v="4"/>
    <n v="653.79"/>
    <n v="0.01"/>
    <x v="29"/>
    <x v="0"/>
    <s v="Martinberg"/>
    <n v="68"/>
    <s v="Female"/>
    <x v="2"/>
    <n v="39.340000000000003"/>
  </r>
  <r>
    <n v="31"/>
    <n v="2899"/>
    <n v="299"/>
    <x v="6"/>
    <n v="1"/>
    <n v="361.67"/>
    <n v="0.06"/>
    <x v="30"/>
    <x v="3"/>
    <s v="Lake Billy"/>
    <n v="23"/>
    <s v="Other"/>
    <x v="2"/>
    <n v="91.11"/>
  </r>
  <r>
    <n v="32"/>
    <n v="8734"/>
    <n v="706"/>
    <x v="3"/>
    <n v="1"/>
    <n v="327.64"/>
    <n v="0.28000000000000003"/>
    <x v="31"/>
    <x v="3"/>
    <s v="Josephborough"/>
    <n v="44"/>
    <s v="Female"/>
    <x v="0"/>
    <n v="2.78"/>
  </r>
  <r>
    <n v="33"/>
    <n v="2267"/>
    <n v="693"/>
    <x v="1"/>
    <n v="1"/>
    <n v="623.45000000000005"/>
    <n v="0.13"/>
    <x v="32"/>
    <x v="4"/>
    <s v="Noahbury"/>
    <n v="67"/>
    <s v="Other"/>
    <x v="1"/>
    <n v="65.39"/>
  </r>
  <r>
    <n v="34"/>
    <n v="2528"/>
    <n v="544"/>
    <x v="3"/>
    <n v="3"/>
    <n v="316.88"/>
    <n v="0.16"/>
    <x v="33"/>
    <x v="2"/>
    <s v="Bowmanport"/>
    <n v="40"/>
    <s v="Male"/>
    <x v="1"/>
    <n v="22.59"/>
  </r>
  <r>
    <n v="35"/>
    <n v="4556"/>
    <n v="773"/>
    <x v="4"/>
    <n v="1"/>
    <n v="560.67999999999995"/>
    <n v="0.22"/>
    <x v="34"/>
    <x v="2"/>
    <s v="South Melvinville"/>
    <n v="32"/>
    <s v="Female"/>
    <x v="1"/>
    <n v="50.36"/>
  </r>
  <r>
    <n v="36"/>
    <n v="4890"/>
    <n v="414"/>
    <x v="5"/>
    <n v="3"/>
    <n v="423.86"/>
    <n v="0.26"/>
    <x v="35"/>
    <x v="0"/>
    <s v="East Brittany"/>
    <n v="67"/>
    <s v="Male"/>
    <x v="2"/>
    <n v="16.57"/>
  </r>
  <r>
    <n v="37"/>
    <n v="9838"/>
    <n v="900"/>
    <x v="1"/>
    <n v="1"/>
    <n v="629.44000000000005"/>
    <n v="0.23"/>
    <x v="36"/>
    <x v="1"/>
    <s v="Lake Stephaniefurt"/>
    <n v="42"/>
    <s v="Other"/>
    <x v="1"/>
    <n v="97.39"/>
  </r>
  <r>
    <n v="38"/>
    <n v="6393"/>
    <n v="907"/>
    <x v="4"/>
    <n v="1"/>
    <n v="330.09"/>
    <n v="0.21"/>
    <x v="37"/>
    <x v="3"/>
    <s v="North Adam"/>
    <n v="37"/>
    <s v="Other"/>
    <x v="1"/>
    <n v="1.59"/>
  </r>
  <r>
    <n v="39"/>
    <n v="9792"/>
    <n v="172"/>
    <x v="3"/>
    <n v="4"/>
    <n v="862.67"/>
    <n v="0.01"/>
    <x v="38"/>
    <x v="4"/>
    <s v="Sancheztown"/>
    <n v="55"/>
    <s v="Female"/>
    <x v="1"/>
    <n v="34.06"/>
  </r>
  <r>
    <n v="40"/>
    <n v="9433"/>
    <n v="951"/>
    <x v="4"/>
    <n v="1"/>
    <n v="511.03"/>
    <n v="0.01"/>
    <x v="39"/>
    <x v="3"/>
    <s v="Burtonmouth"/>
    <n v="40"/>
    <s v="Male"/>
    <x v="2"/>
    <n v="85.58"/>
  </r>
  <r>
    <n v="41"/>
    <n v="8513"/>
    <n v="907"/>
    <x v="2"/>
    <n v="2"/>
    <n v="42.59"/>
    <n v="0.06"/>
    <x v="40"/>
    <x v="0"/>
    <s v="Lake Josephmouth"/>
    <n v="68"/>
    <s v="Male"/>
    <x v="2"/>
    <n v="51.92"/>
  </r>
  <r>
    <n v="42"/>
    <n v="3612"/>
    <n v="785"/>
    <x v="6"/>
    <n v="3"/>
    <n v="143.9"/>
    <n v="0.09"/>
    <x v="41"/>
    <x v="1"/>
    <s v="Clarkeville"/>
    <n v="41"/>
    <s v="Other"/>
    <x v="0"/>
    <n v="57.88"/>
  </r>
  <r>
    <n v="43"/>
    <n v="8041"/>
    <n v="101"/>
    <x v="0"/>
    <n v="3"/>
    <n v="202.28"/>
    <n v="0.11"/>
    <x v="42"/>
    <x v="0"/>
    <s v="Christopherside"/>
    <n v="57"/>
    <s v="Male"/>
    <x v="0"/>
    <n v="39.869999999999997"/>
  </r>
  <r>
    <n v="44"/>
    <n v="7235"/>
    <n v="718"/>
    <x v="1"/>
    <n v="3"/>
    <n v="108.93"/>
    <n v="0.12"/>
    <x v="43"/>
    <x v="1"/>
    <s v="Deborahton"/>
    <n v="25"/>
    <s v="Other"/>
    <x v="0"/>
    <n v="13.93"/>
  </r>
  <r>
    <n v="45"/>
    <n v="6486"/>
    <n v="778"/>
    <x v="5"/>
    <n v="4"/>
    <n v="176.51"/>
    <n v="0.01"/>
    <x v="44"/>
    <x v="1"/>
    <s v="Ewingbury"/>
    <n v="53"/>
    <s v="Female"/>
    <x v="0"/>
    <n v="46.24"/>
  </r>
  <r>
    <n v="46"/>
    <n v="8099"/>
    <n v="120"/>
    <x v="5"/>
    <n v="2"/>
    <n v="309.39"/>
    <n v="0.05"/>
    <x v="45"/>
    <x v="1"/>
    <s v="Michelleborough"/>
    <n v="43"/>
    <s v="Other"/>
    <x v="2"/>
    <n v="68.94"/>
  </r>
  <r>
    <n v="47"/>
    <n v="1775"/>
    <n v="561"/>
    <x v="5"/>
    <n v="1"/>
    <n v="947.84"/>
    <n v="0.26"/>
    <x v="46"/>
    <x v="0"/>
    <s v="South Cathy"/>
    <n v="32"/>
    <s v="Other"/>
    <x v="2"/>
    <n v="37.53"/>
  </r>
  <r>
    <n v="48"/>
    <n v="9226"/>
    <n v="449"/>
    <x v="2"/>
    <n v="2"/>
    <n v="984.98"/>
    <n v="0.23"/>
    <x v="47"/>
    <x v="3"/>
    <s v="Garciaburgh"/>
    <n v="58"/>
    <s v="Other"/>
    <x v="1"/>
    <n v="0.53"/>
  </r>
  <r>
    <n v="49"/>
    <n v="4152"/>
    <n v="653"/>
    <x v="5"/>
    <n v="4"/>
    <n v="157.11000000000001"/>
    <n v="0.03"/>
    <x v="48"/>
    <x v="2"/>
    <s v="Berryfort"/>
    <n v="64"/>
    <s v="Other"/>
    <x v="2"/>
    <n v="98.5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n v="1"/>
    <n v="8270"/>
    <n v="295"/>
    <s v="Clothing"/>
    <n v="1"/>
    <n v="801.66"/>
    <n v="0.13"/>
    <d v="2023-12-22T10:35:26"/>
    <x v="0"/>
    <s v="New Juan"/>
    <n v="46"/>
    <s v="Female"/>
    <s v="Medium"/>
    <n v="83.36"/>
  </r>
  <r>
    <n v="2"/>
    <n v="1860"/>
    <n v="546"/>
    <s v="Beauty"/>
    <n v="1"/>
    <n v="225.03"/>
    <n v="0.06"/>
    <d v="2024-05-05T10:40:33"/>
    <x v="1"/>
    <s v="South Julie"/>
    <n v="59"/>
    <s v="Other"/>
    <s v="High"/>
    <n v="58.88"/>
  </r>
  <r>
    <n v="3"/>
    <n v="6390"/>
    <n v="430"/>
    <s v="Toys"/>
    <n v="2"/>
    <n v="544.99"/>
    <n v="0.24"/>
    <d v="2023-12-04T05:22:59"/>
    <x v="1"/>
    <s v="West Carrieview"/>
    <n v="61"/>
    <s v="Female"/>
    <s v="High"/>
    <n v="53.99"/>
  </r>
  <r>
    <n v="4"/>
    <n v="6191"/>
    <n v="807"/>
    <s v="Beauty"/>
    <n v="2"/>
    <n v="157.02000000000001"/>
    <n v="0.01"/>
    <d v="2024-01-02T11:11:00"/>
    <x v="2"/>
    <s v="Christianberg"/>
    <n v="69"/>
    <s v="Female"/>
    <s v="Low"/>
    <n v="11.73"/>
  </r>
  <r>
    <n v="5"/>
    <n v="6734"/>
    <n v="319"/>
    <s v="Electronics"/>
    <n v="2"/>
    <n v="155.51"/>
    <n v="0.14000000000000001"/>
    <d v="2024-06-18T01:01:29"/>
    <x v="1"/>
    <s v="South Williamhaven"/>
    <n v="29"/>
    <s v="Other"/>
    <s v="High"/>
    <n v="34.79"/>
  </r>
  <r>
    <n v="6"/>
    <n v="7265"/>
    <n v="282"/>
    <s v="Books"/>
    <n v="3"/>
    <n v="225.65"/>
    <n v="0.18"/>
    <d v="2024-03-06T06:15:28"/>
    <x v="2"/>
    <s v="Stephenfort"/>
    <n v="60"/>
    <s v="Male"/>
    <s v="High"/>
    <n v="25.78"/>
  </r>
  <r>
    <n v="7"/>
    <n v="1466"/>
    <n v="276"/>
    <s v="Beauty"/>
    <n v="3"/>
    <n v="631.96"/>
    <n v="0.09"/>
    <d v="2023-10-15T13:30:31"/>
    <x v="3"/>
    <s v="North Terristad"/>
    <n v="69"/>
    <s v="Male"/>
    <s v="Low"/>
    <n v="68.36"/>
  </r>
  <r>
    <n v="8"/>
    <n v="5426"/>
    <n v="574"/>
    <s v="Sports"/>
    <n v="1"/>
    <n v="522.87"/>
    <n v="0.28999999999999998"/>
    <d v="2024-05-16T01:46:00"/>
    <x v="0"/>
    <s v="Pachecotown"/>
    <n v="45"/>
    <s v="Female"/>
    <s v="High"/>
    <n v="19.23"/>
  </r>
  <r>
    <n v="9"/>
    <n v="6578"/>
    <n v="948"/>
    <s v="Books"/>
    <n v="4"/>
    <n v="202.66"/>
    <n v="0.12"/>
    <d v="2024-08-04T17:13:39"/>
    <x v="0"/>
    <s v="Port Philipberg"/>
    <n v="37"/>
    <s v="Male"/>
    <s v="Low"/>
    <n v="28.61"/>
  </r>
  <r>
    <n v="10"/>
    <n v="9322"/>
    <n v="459"/>
    <s v="Toys"/>
    <n v="3"/>
    <n v="401.52"/>
    <n v="0.23"/>
    <d v="2023-12-18T18:38:53"/>
    <x v="0"/>
    <s v="Jenniferfurt"/>
    <n v="67"/>
    <s v="Female"/>
    <s v="Low"/>
    <n v="35.18"/>
  </r>
  <r>
    <n v="11"/>
    <n v="2685"/>
    <n v="745"/>
    <s v="Clothing"/>
    <n v="3"/>
    <n v="346.31"/>
    <n v="0.06"/>
    <d v="2024-05-26T02:56:46"/>
    <x v="0"/>
    <s v="Lake Carolyn"/>
    <n v="36"/>
    <s v="Other"/>
    <s v="Low"/>
    <n v="76.819999999999993"/>
  </r>
  <r>
    <n v="12"/>
    <n v="1769"/>
    <n v="564"/>
    <s v="Sports"/>
    <n v="1"/>
    <n v="434.15"/>
    <n v="0.05"/>
    <d v="2023-09-26T05:18:30"/>
    <x v="2"/>
    <s v="Amandaborough"/>
    <n v="61"/>
    <s v="Other"/>
    <s v="High"/>
    <n v="26.24"/>
  </r>
  <r>
    <n v="13"/>
    <n v="7949"/>
    <n v="334"/>
    <s v="Electronics"/>
    <n v="3"/>
    <n v="189.87"/>
    <n v="0.25"/>
    <d v="2023-12-13T23:53:52"/>
    <x v="3"/>
    <s v="South Maria"/>
    <n v="65"/>
    <s v="Other"/>
    <s v="Low"/>
    <n v="39.909999999999997"/>
  </r>
  <r>
    <n v="14"/>
    <n v="3433"/>
    <n v="536"/>
    <s v="Home &amp; Kitchen"/>
    <n v="1"/>
    <n v="559.1"/>
    <n v="0.15"/>
    <d v="2023-12-02T07:44:27"/>
    <x v="1"/>
    <s v="West Marissa"/>
    <n v="35"/>
    <s v="Male"/>
    <s v="Low"/>
    <n v="69.39"/>
  </r>
  <r>
    <n v="15"/>
    <n v="6311"/>
    <n v="239"/>
    <s v="Toys"/>
    <n v="3"/>
    <n v="29.01"/>
    <n v="0.26"/>
    <d v="2024-03-01T17:49:13"/>
    <x v="0"/>
    <s v="Austinburgh"/>
    <n v="20"/>
    <s v="Other"/>
    <s v="High"/>
    <n v="10.33"/>
  </r>
  <r>
    <n v="16"/>
    <n v="6051"/>
    <n v="587"/>
    <s v="Toys"/>
    <n v="2"/>
    <n v="541.5"/>
    <n v="0.22"/>
    <d v="2024-08-12T12:13:05"/>
    <x v="2"/>
    <s v="Lake Jesse"/>
    <n v="46"/>
    <s v="Other"/>
    <s v="Low"/>
    <n v="41.77"/>
  </r>
  <r>
    <n v="17"/>
    <n v="7420"/>
    <n v="868"/>
    <s v="Beauty"/>
    <n v="4"/>
    <n v="218.68"/>
    <n v="0.19"/>
    <d v="2024-07-24T08:49:00"/>
    <x v="3"/>
    <s v="Marioburgh"/>
    <n v="21"/>
    <s v="Other"/>
    <s v="Medium"/>
    <n v="9.93"/>
  </r>
  <r>
    <n v="18"/>
    <n v="2184"/>
    <n v="384"/>
    <s v="Clothing"/>
    <n v="2"/>
    <n v="439.07"/>
    <n v="0.26"/>
    <d v="2024-06-14T18:03:29"/>
    <x v="4"/>
    <s v="Ryanhaven"/>
    <n v="23"/>
    <s v="Other"/>
    <s v="Medium"/>
    <n v="97.73"/>
  </r>
  <r>
    <n v="19"/>
    <n v="5555"/>
    <n v="701"/>
    <s v="Books"/>
    <n v="4"/>
    <n v="849.82"/>
    <n v="0.12"/>
    <d v="2024-03-02T05:18:42"/>
    <x v="0"/>
    <s v="Dickersonmouth"/>
    <n v="52"/>
    <s v="Female"/>
    <s v="Low"/>
    <n v="54.32"/>
  </r>
  <r>
    <n v="20"/>
    <n v="4385"/>
    <n v="427"/>
    <s v="Electronics"/>
    <n v="1"/>
    <n v="886.69"/>
    <n v="0.28000000000000003"/>
    <d v="2024-05-19T13:22:45"/>
    <x v="1"/>
    <s v="Annaborough"/>
    <n v="46"/>
    <s v="Other"/>
    <s v="Low"/>
    <n v="57.35"/>
  </r>
  <r>
    <n v="21"/>
    <n v="7396"/>
    <n v="150"/>
    <s v="Toys"/>
    <n v="2"/>
    <n v="137.79"/>
    <n v="0.04"/>
    <d v="2024-05-13T10:04:09"/>
    <x v="3"/>
    <s v="Ramirezburgh"/>
    <n v="60"/>
    <s v="Male"/>
    <s v="Medium"/>
    <n v="41.08"/>
  </r>
  <r>
    <n v="22"/>
    <n v="9666"/>
    <n v="797"/>
    <s v="Electronics"/>
    <n v="4"/>
    <n v="6.58"/>
    <n v="0.04"/>
    <d v="2024-04-05T20:50:36"/>
    <x v="4"/>
    <s v="Sextonberg"/>
    <n v="54"/>
    <s v="Female"/>
    <s v="Medium"/>
    <n v="88.02"/>
  </r>
  <r>
    <n v="23"/>
    <n v="3558"/>
    <n v="577"/>
    <s v="Toys"/>
    <n v="3"/>
    <n v="888.2"/>
    <n v="0.04"/>
    <d v="2023-11-17T05:30:14"/>
    <x v="0"/>
    <s v="Beasleyshire"/>
    <n v="29"/>
    <s v="Other"/>
    <s v="Medium"/>
    <n v="67.510000000000005"/>
  </r>
  <r>
    <n v="24"/>
    <n v="8849"/>
    <n v="385"/>
    <s v="Toys"/>
    <n v="4"/>
    <n v="109.35"/>
    <n v="0.15"/>
    <d v="2024-08-05T14:07:57"/>
    <x v="1"/>
    <s v="Lake Brittneyland"/>
    <n v="45"/>
    <s v="Female"/>
    <s v="High"/>
    <n v="18.760000000000002"/>
  </r>
  <r>
    <n v="25"/>
    <n v="3047"/>
    <n v="419"/>
    <s v="Electronics"/>
    <n v="4"/>
    <n v="144.08000000000001"/>
    <n v="0.28000000000000003"/>
    <d v="2024-02-24T01:14:50"/>
    <x v="0"/>
    <s v="South John"/>
    <n v="38"/>
    <s v="Male"/>
    <s v="High"/>
    <n v="33.4"/>
  </r>
  <r>
    <n v="26"/>
    <n v="3747"/>
    <n v="733"/>
    <s v="Sports"/>
    <n v="4"/>
    <n v="576.59"/>
    <n v="0.2"/>
    <d v="2024-03-04T09:18:55"/>
    <x v="2"/>
    <s v="New Devin"/>
    <n v="52"/>
    <s v="Male"/>
    <s v="Low"/>
    <n v="21.91"/>
  </r>
  <r>
    <n v="27"/>
    <n v="1189"/>
    <n v="278"/>
    <s v="Electronics"/>
    <n v="3"/>
    <n v="954.41"/>
    <n v="0.11"/>
    <d v="2023-10-26T07:12:09"/>
    <x v="4"/>
    <s v="Lake Denise"/>
    <n v="66"/>
    <s v="Male"/>
    <s v="Low"/>
    <n v="81.489999999999995"/>
  </r>
  <r>
    <n v="28"/>
    <n v="3734"/>
    <n v="231"/>
    <s v="Home &amp; Kitchen"/>
    <n v="3"/>
    <n v="513.82000000000005"/>
    <n v="0.05"/>
    <d v="2024-08-04T12:39:59"/>
    <x v="3"/>
    <s v="South Susan"/>
    <n v="34"/>
    <s v="Male"/>
    <s v="Low"/>
    <n v="77.27"/>
  </r>
  <r>
    <n v="29"/>
    <n v="4005"/>
    <n v="699"/>
    <s v="Sports"/>
    <n v="1"/>
    <n v="767.89"/>
    <n v="0.11"/>
    <d v="2024-05-06T01:39:20"/>
    <x v="3"/>
    <s v="Johnsonchester"/>
    <n v="52"/>
    <s v="Other"/>
    <s v="High"/>
    <n v="26.78"/>
  </r>
  <r>
    <n v="30"/>
    <n v="5658"/>
    <n v="829"/>
    <s v="Beauty"/>
    <n v="4"/>
    <n v="653.79"/>
    <n v="0.01"/>
    <d v="2023-10-23T11:34:13"/>
    <x v="0"/>
    <s v="Martinberg"/>
    <n v="68"/>
    <s v="Female"/>
    <s v="Low"/>
    <n v="39.340000000000003"/>
  </r>
  <r>
    <n v="31"/>
    <n v="2899"/>
    <n v="299"/>
    <s v="Home &amp; Kitchen"/>
    <n v="1"/>
    <n v="361.67"/>
    <n v="0.06"/>
    <d v="2024-01-10T02:42:31"/>
    <x v="3"/>
    <s v="Lake Billy"/>
    <n v="23"/>
    <s v="Other"/>
    <s v="Low"/>
    <n v="91.11"/>
  </r>
  <r>
    <n v="32"/>
    <n v="8734"/>
    <n v="706"/>
    <s v="Electronics"/>
    <n v="1"/>
    <n v="327.64"/>
    <n v="0.28000000000000003"/>
    <d v="2024-05-10T18:45:11"/>
    <x v="3"/>
    <s v="Josephborough"/>
    <n v="44"/>
    <s v="Female"/>
    <s v="Medium"/>
    <n v="2.78"/>
  </r>
  <r>
    <n v="33"/>
    <n v="2267"/>
    <n v="693"/>
    <s v="Beauty"/>
    <n v="1"/>
    <n v="623.45000000000005"/>
    <n v="0.13"/>
    <d v="2024-06-26T03:10:11"/>
    <x v="4"/>
    <s v="Noahbury"/>
    <n v="67"/>
    <s v="Other"/>
    <s v="High"/>
    <n v="65.39"/>
  </r>
  <r>
    <n v="34"/>
    <n v="2528"/>
    <n v="544"/>
    <s v="Electronics"/>
    <n v="3"/>
    <n v="316.88"/>
    <n v="0.16"/>
    <d v="2023-09-16T17:22:21"/>
    <x v="2"/>
    <s v="Bowmanport"/>
    <n v="40"/>
    <s v="Male"/>
    <s v="High"/>
    <n v="22.59"/>
  </r>
  <r>
    <n v="35"/>
    <n v="4556"/>
    <n v="773"/>
    <s v="Books"/>
    <n v="1"/>
    <n v="560.67999999999995"/>
    <n v="0.22"/>
    <d v="2023-11-18T18:04:26"/>
    <x v="2"/>
    <s v="South Melvinville"/>
    <n v="32"/>
    <s v="Female"/>
    <s v="High"/>
    <n v="50.36"/>
  </r>
  <r>
    <n v="36"/>
    <n v="4890"/>
    <n v="414"/>
    <s v="Sports"/>
    <n v="3"/>
    <n v="423.86"/>
    <n v="0.26"/>
    <d v="2024-01-14T01:16:35"/>
    <x v="0"/>
    <s v="East Brittany"/>
    <n v="67"/>
    <s v="Male"/>
    <s v="Low"/>
    <n v="16.57"/>
  </r>
  <r>
    <n v="37"/>
    <n v="9838"/>
    <n v="900"/>
    <s v="Beauty"/>
    <n v="1"/>
    <n v="629.44000000000005"/>
    <n v="0.23"/>
    <d v="2023-11-12T01:30:26"/>
    <x v="1"/>
    <s v="Lake Stephaniefurt"/>
    <n v="42"/>
    <s v="Other"/>
    <s v="High"/>
    <n v="97.39"/>
  </r>
  <r>
    <n v="38"/>
    <n v="6393"/>
    <n v="907"/>
    <s v="Books"/>
    <n v="1"/>
    <n v="330.09"/>
    <n v="0.21"/>
    <d v="2024-08-17T13:48:43"/>
    <x v="3"/>
    <s v="North Adam"/>
    <n v="37"/>
    <s v="Other"/>
    <s v="High"/>
    <n v="1.59"/>
  </r>
  <r>
    <n v="39"/>
    <n v="9792"/>
    <n v="172"/>
    <s v="Electronics"/>
    <n v="4"/>
    <n v="862.67"/>
    <n v="0.01"/>
    <d v="2023-12-19T01:35:37"/>
    <x v="4"/>
    <s v="Sancheztown"/>
    <n v="55"/>
    <s v="Female"/>
    <s v="High"/>
    <n v="34.06"/>
  </r>
  <r>
    <n v="40"/>
    <n v="9433"/>
    <n v="951"/>
    <s v="Books"/>
    <n v="1"/>
    <n v="511.03"/>
    <n v="0.01"/>
    <d v="2023-11-20T20:28:37"/>
    <x v="3"/>
    <s v="Burtonmouth"/>
    <n v="40"/>
    <s v="Male"/>
    <s v="Low"/>
    <n v="85.58"/>
  </r>
  <r>
    <n v="41"/>
    <n v="8513"/>
    <n v="907"/>
    <s v="Toys"/>
    <n v="2"/>
    <n v="42.59"/>
    <n v="0.06"/>
    <d v="2024-08-26T07:33:38"/>
    <x v="0"/>
    <s v="Lake Josephmouth"/>
    <n v="68"/>
    <s v="Male"/>
    <s v="Low"/>
    <n v="51.92"/>
  </r>
  <r>
    <n v="42"/>
    <n v="3612"/>
    <n v="785"/>
    <s v="Home &amp; Kitchen"/>
    <n v="3"/>
    <n v="143.9"/>
    <n v="0.09"/>
    <d v="2024-05-24T07:56:09"/>
    <x v="1"/>
    <s v="Clarkeville"/>
    <n v="41"/>
    <s v="Other"/>
    <s v="Medium"/>
    <n v="57.88"/>
  </r>
  <r>
    <n v="43"/>
    <n v="8041"/>
    <n v="101"/>
    <s v="Clothing"/>
    <n v="3"/>
    <n v="202.28"/>
    <n v="0.11"/>
    <d v="2023-10-12T07:30:30"/>
    <x v="0"/>
    <s v="Christopherside"/>
    <n v="57"/>
    <s v="Male"/>
    <s v="Medium"/>
    <n v="39.869999999999997"/>
  </r>
  <r>
    <n v="44"/>
    <n v="7235"/>
    <n v="718"/>
    <s v="Beauty"/>
    <n v="3"/>
    <n v="108.93"/>
    <n v="0.12"/>
    <d v="2023-11-26T19:53:06"/>
    <x v="1"/>
    <s v="Deborahton"/>
    <n v="25"/>
    <s v="Other"/>
    <s v="Medium"/>
    <n v="13.93"/>
  </r>
  <r>
    <n v="45"/>
    <n v="6486"/>
    <n v="778"/>
    <s v="Sports"/>
    <n v="4"/>
    <n v="176.51"/>
    <n v="0.01"/>
    <d v="2024-07-26T23:44:49"/>
    <x v="1"/>
    <s v="Ewingbury"/>
    <n v="53"/>
    <s v="Female"/>
    <s v="Medium"/>
    <n v="46.24"/>
  </r>
  <r>
    <n v="46"/>
    <n v="8099"/>
    <n v="120"/>
    <s v="Sports"/>
    <n v="2"/>
    <n v="309.39"/>
    <n v="0.05"/>
    <d v="2024-05-27T01:53:06"/>
    <x v="1"/>
    <s v="Michelleborough"/>
    <n v="43"/>
    <s v="Other"/>
    <s v="Low"/>
    <n v="68.94"/>
  </r>
  <r>
    <n v="47"/>
    <n v="1775"/>
    <n v="561"/>
    <s v="Sports"/>
    <n v="1"/>
    <n v="947.84"/>
    <n v="0.26"/>
    <d v="2023-09-24T06:40:27"/>
    <x v="0"/>
    <s v="South Cathy"/>
    <n v="32"/>
    <s v="Other"/>
    <s v="Low"/>
    <n v="37.53"/>
  </r>
  <r>
    <n v="48"/>
    <n v="9226"/>
    <n v="449"/>
    <s v="Toys"/>
    <n v="2"/>
    <n v="984.98"/>
    <n v="0.23"/>
    <d v="2023-09-11T13:03:06"/>
    <x v="3"/>
    <s v="Garciaburgh"/>
    <n v="58"/>
    <s v="Other"/>
    <s v="High"/>
    <n v="0.53"/>
  </r>
  <r>
    <n v="49"/>
    <n v="4152"/>
    <n v="653"/>
    <s v="Sports"/>
    <n v="4"/>
    <n v="157.11000000000001"/>
    <n v="0.03"/>
    <d v="2024-06-08T03:49:08"/>
    <x v="2"/>
    <s v="Berryfort"/>
    <n v="64"/>
    <s v="Other"/>
    <s v="Low"/>
    <n v="98.5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n v="1"/>
    <n v="8270"/>
    <n v="295"/>
    <s v="Clothing"/>
    <n v="1"/>
    <n v="801.66"/>
    <n v="0.13"/>
    <d v="2023-12-22T10:35:26"/>
    <s v="Cash on Delivery"/>
    <s v="New Juan"/>
    <n v="46"/>
    <x v="0"/>
    <s v="Medium"/>
    <n v="83.36"/>
  </r>
  <r>
    <n v="2"/>
    <n v="1860"/>
    <n v="546"/>
    <s v="Beauty"/>
    <n v="1"/>
    <n v="225.03"/>
    <n v="0.06"/>
    <d v="2024-05-05T10:40:33"/>
    <s v="Debit Card"/>
    <s v="South Julie"/>
    <n v="59"/>
    <x v="1"/>
    <s v="High"/>
    <n v="58.88"/>
  </r>
  <r>
    <n v="3"/>
    <n v="6390"/>
    <n v="430"/>
    <s v="Toys"/>
    <n v="2"/>
    <n v="544.99"/>
    <n v="0.24"/>
    <d v="2023-12-04T05:22:59"/>
    <s v="Debit Card"/>
    <s v="West Carrieview"/>
    <n v="61"/>
    <x v="0"/>
    <s v="High"/>
    <n v="53.99"/>
  </r>
  <r>
    <n v="4"/>
    <n v="6191"/>
    <n v="807"/>
    <s v="Beauty"/>
    <n v="2"/>
    <n v="157.02000000000001"/>
    <n v="0.01"/>
    <d v="2024-01-02T11:11:00"/>
    <s v="Bank Transfer"/>
    <s v="Christianberg"/>
    <n v="69"/>
    <x v="0"/>
    <s v="Low"/>
    <n v="11.73"/>
  </r>
  <r>
    <n v="5"/>
    <n v="6734"/>
    <n v="319"/>
    <s v="Electronics"/>
    <n v="2"/>
    <n v="155.51"/>
    <n v="0.14000000000000001"/>
    <d v="2024-06-18T01:01:29"/>
    <s v="Debit Card"/>
    <s v="South Williamhaven"/>
    <n v="29"/>
    <x v="1"/>
    <s v="High"/>
    <n v="34.79"/>
  </r>
  <r>
    <n v="6"/>
    <n v="7265"/>
    <n v="282"/>
    <s v="Books"/>
    <n v="3"/>
    <n v="225.65"/>
    <n v="0.18"/>
    <d v="2024-03-06T06:15:28"/>
    <s v="Bank Transfer"/>
    <s v="Stephenfort"/>
    <n v="60"/>
    <x v="2"/>
    <s v="High"/>
    <n v="25.78"/>
  </r>
  <r>
    <n v="7"/>
    <n v="1466"/>
    <n v="276"/>
    <s v="Beauty"/>
    <n v="3"/>
    <n v="631.96"/>
    <n v="0.09"/>
    <d v="2023-10-15T13:30:31"/>
    <s v="Credit Card"/>
    <s v="North Terristad"/>
    <n v="69"/>
    <x v="2"/>
    <s v="Low"/>
    <n v="68.36"/>
  </r>
  <r>
    <n v="8"/>
    <n v="5426"/>
    <n v="574"/>
    <s v="Sports"/>
    <n v="1"/>
    <n v="522.87"/>
    <n v="0.28999999999999998"/>
    <d v="2024-05-16T01:46:00"/>
    <s v="Cash on Delivery"/>
    <s v="Pachecotown"/>
    <n v="45"/>
    <x v="0"/>
    <s v="High"/>
    <n v="19.23"/>
  </r>
  <r>
    <n v="9"/>
    <n v="6578"/>
    <n v="948"/>
    <s v="Books"/>
    <n v="4"/>
    <n v="202.66"/>
    <n v="0.12"/>
    <d v="2024-08-04T17:13:39"/>
    <s v="Cash on Delivery"/>
    <s v="Port Philipberg"/>
    <n v="37"/>
    <x v="2"/>
    <s v="Low"/>
    <n v="28.61"/>
  </r>
  <r>
    <n v="10"/>
    <n v="9322"/>
    <n v="459"/>
    <s v="Toys"/>
    <n v="3"/>
    <n v="401.52"/>
    <n v="0.23"/>
    <d v="2023-12-18T18:38:53"/>
    <s v="Cash on Delivery"/>
    <s v="Jenniferfurt"/>
    <n v="67"/>
    <x v="0"/>
    <s v="Low"/>
    <n v="35.18"/>
  </r>
  <r>
    <n v="11"/>
    <n v="2685"/>
    <n v="745"/>
    <s v="Clothing"/>
    <n v="3"/>
    <n v="346.31"/>
    <n v="0.06"/>
    <d v="2024-05-26T02:56:46"/>
    <s v="Cash on Delivery"/>
    <s v="Lake Carolyn"/>
    <n v="36"/>
    <x v="1"/>
    <s v="Low"/>
    <n v="76.819999999999993"/>
  </r>
  <r>
    <n v="12"/>
    <n v="1769"/>
    <n v="564"/>
    <s v="Sports"/>
    <n v="1"/>
    <n v="434.15"/>
    <n v="0.05"/>
    <d v="2023-09-26T05:18:30"/>
    <s v="Bank Transfer"/>
    <s v="Amandaborough"/>
    <n v="61"/>
    <x v="1"/>
    <s v="High"/>
    <n v="26.24"/>
  </r>
  <r>
    <n v="13"/>
    <n v="7949"/>
    <n v="334"/>
    <s v="Electronics"/>
    <n v="3"/>
    <n v="189.87"/>
    <n v="0.25"/>
    <d v="2023-12-13T23:53:52"/>
    <s v="Credit Card"/>
    <s v="South Maria"/>
    <n v="65"/>
    <x v="1"/>
    <s v="Low"/>
    <n v="39.909999999999997"/>
  </r>
  <r>
    <n v="14"/>
    <n v="3433"/>
    <n v="536"/>
    <s v="Home &amp; Kitchen"/>
    <n v="1"/>
    <n v="559.1"/>
    <n v="0.15"/>
    <d v="2023-12-02T07:44:27"/>
    <s v="Debit Card"/>
    <s v="West Marissa"/>
    <n v="35"/>
    <x v="2"/>
    <s v="Low"/>
    <n v="69.39"/>
  </r>
  <r>
    <n v="15"/>
    <n v="6311"/>
    <n v="239"/>
    <s v="Toys"/>
    <n v="3"/>
    <n v="29.01"/>
    <n v="0.26"/>
    <d v="2024-03-01T17:49:13"/>
    <s v="Cash on Delivery"/>
    <s v="Austinburgh"/>
    <n v="20"/>
    <x v="1"/>
    <s v="High"/>
    <n v="10.33"/>
  </r>
  <r>
    <n v="16"/>
    <n v="6051"/>
    <n v="587"/>
    <s v="Toys"/>
    <n v="2"/>
    <n v="541.5"/>
    <n v="0.22"/>
    <d v="2024-08-12T12:13:05"/>
    <s v="Bank Transfer"/>
    <s v="Lake Jesse"/>
    <n v="46"/>
    <x v="1"/>
    <s v="Low"/>
    <n v="41.77"/>
  </r>
  <r>
    <n v="17"/>
    <n v="7420"/>
    <n v="868"/>
    <s v="Beauty"/>
    <n v="4"/>
    <n v="218.68"/>
    <n v="0.19"/>
    <d v="2024-07-24T08:49:00"/>
    <s v="Credit Card"/>
    <s v="Marioburgh"/>
    <n v="21"/>
    <x v="1"/>
    <s v="Medium"/>
    <n v="9.93"/>
  </r>
  <r>
    <n v="18"/>
    <n v="2184"/>
    <n v="384"/>
    <s v="Clothing"/>
    <n v="2"/>
    <n v="439.07"/>
    <n v="0.26"/>
    <d v="2024-06-14T18:03:29"/>
    <s v="PayPal"/>
    <s v="Ryanhaven"/>
    <n v="23"/>
    <x v="1"/>
    <s v="Medium"/>
    <n v="97.73"/>
  </r>
  <r>
    <n v="19"/>
    <n v="5555"/>
    <n v="701"/>
    <s v="Books"/>
    <n v="4"/>
    <n v="849.82"/>
    <n v="0.12"/>
    <d v="2024-03-02T05:18:42"/>
    <s v="Cash on Delivery"/>
    <s v="Dickersonmouth"/>
    <n v="52"/>
    <x v="0"/>
    <s v="Low"/>
    <n v="54.32"/>
  </r>
  <r>
    <n v="20"/>
    <n v="4385"/>
    <n v="427"/>
    <s v="Electronics"/>
    <n v="1"/>
    <n v="886.69"/>
    <n v="0.28000000000000003"/>
    <d v="2024-05-19T13:22:45"/>
    <s v="Debit Card"/>
    <s v="Annaborough"/>
    <n v="46"/>
    <x v="1"/>
    <s v="Low"/>
    <n v="57.35"/>
  </r>
  <r>
    <n v="21"/>
    <n v="7396"/>
    <n v="150"/>
    <s v="Toys"/>
    <n v="2"/>
    <n v="137.79"/>
    <n v="0.04"/>
    <d v="2024-05-13T10:04:09"/>
    <s v="Credit Card"/>
    <s v="Ramirezburgh"/>
    <n v="60"/>
    <x v="2"/>
    <s v="Medium"/>
    <n v="41.08"/>
  </r>
  <r>
    <n v="22"/>
    <n v="9666"/>
    <n v="797"/>
    <s v="Electronics"/>
    <n v="4"/>
    <n v="6.58"/>
    <n v="0.04"/>
    <d v="2024-04-05T20:50:36"/>
    <s v="PayPal"/>
    <s v="Sextonberg"/>
    <n v="54"/>
    <x v="0"/>
    <s v="Medium"/>
    <n v="88.02"/>
  </r>
  <r>
    <n v="23"/>
    <n v="3558"/>
    <n v="577"/>
    <s v="Toys"/>
    <n v="3"/>
    <n v="888.2"/>
    <n v="0.04"/>
    <d v="2023-11-17T05:30:14"/>
    <s v="Cash on Delivery"/>
    <s v="Beasleyshire"/>
    <n v="29"/>
    <x v="1"/>
    <s v="Medium"/>
    <n v="67.510000000000005"/>
  </r>
  <r>
    <n v="24"/>
    <n v="8849"/>
    <n v="385"/>
    <s v="Toys"/>
    <n v="4"/>
    <n v="109.35"/>
    <n v="0.15"/>
    <d v="2024-08-05T14:07:57"/>
    <s v="Debit Card"/>
    <s v="Lake Brittneyland"/>
    <n v="45"/>
    <x v="0"/>
    <s v="High"/>
    <n v="18.760000000000002"/>
  </r>
  <r>
    <n v="25"/>
    <n v="3047"/>
    <n v="419"/>
    <s v="Electronics"/>
    <n v="4"/>
    <n v="144.08000000000001"/>
    <n v="0.28000000000000003"/>
    <d v="2024-02-24T01:14:50"/>
    <s v="Cash on Delivery"/>
    <s v="South John"/>
    <n v="38"/>
    <x v="2"/>
    <s v="High"/>
    <n v="33.4"/>
  </r>
  <r>
    <n v="26"/>
    <n v="3747"/>
    <n v="733"/>
    <s v="Sports"/>
    <n v="4"/>
    <n v="576.59"/>
    <n v="0.2"/>
    <d v="2024-03-04T09:18:55"/>
    <s v="Bank Transfer"/>
    <s v="New Devin"/>
    <n v="52"/>
    <x v="2"/>
    <s v="Low"/>
    <n v="21.91"/>
  </r>
  <r>
    <n v="27"/>
    <n v="1189"/>
    <n v="278"/>
    <s v="Electronics"/>
    <n v="3"/>
    <n v="954.41"/>
    <n v="0.11"/>
    <d v="2023-10-26T07:12:09"/>
    <s v="PayPal"/>
    <s v="Lake Denise"/>
    <n v="66"/>
    <x v="2"/>
    <s v="Low"/>
    <n v="81.489999999999995"/>
  </r>
  <r>
    <n v="28"/>
    <n v="3734"/>
    <n v="231"/>
    <s v="Home &amp; Kitchen"/>
    <n v="3"/>
    <n v="513.82000000000005"/>
    <n v="0.05"/>
    <d v="2024-08-04T12:39:59"/>
    <s v="Credit Card"/>
    <s v="South Susan"/>
    <n v="34"/>
    <x v="2"/>
    <s v="Low"/>
    <n v="77.27"/>
  </r>
  <r>
    <n v="29"/>
    <n v="4005"/>
    <n v="699"/>
    <s v="Sports"/>
    <n v="1"/>
    <n v="767.89"/>
    <n v="0.11"/>
    <d v="2024-05-06T01:39:20"/>
    <s v="Credit Card"/>
    <s v="Johnsonchester"/>
    <n v="52"/>
    <x v="1"/>
    <s v="High"/>
    <n v="26.78"/>
  </r>
  <r>
    <n v="30"/>
    <n v="5658"/>
    <n v="829"/>
    <s v="Beauty"/>
    <n v="4"/>
    <n v="653.79"/>
    <n v="0.01"/>
    <d v="2023-10-23T11:34:13"/>
    <s v="Cash on Delivery"/>
    <s v="Martinberg"/>
    <n v="68"/>
    <x v="0"/>
    <s v="Low"/>
    <n v="39.340000000000003"/>
  </r>
  <r>
    <n v="31"/>
    <n v="2899"/>
    <n v="299"/>
    <s v="Home &amp; Kitchen"/>
    <n v="1"/>
    <n v="361.67"/>
    <n v="0.06"/>
    <d v="2024-01-10T02:42:31"/>
    <s v="Credit Card"/>
    <s v="Lake Billy"/>
    <n v="23"/>
    <x v="1"/>
    <s v="Low"/>
    <n v="91.11"/>
  </r>
  <r>
    <n v="32"/>
    <n v="8734"/>
    <n v="706"/>
    <s v="Electronics"/>
    <n v="1"/>
    <n v="327.64"/>
    <n v="0.28000000000000003"/>
    <d v="2024-05-10T18:45:11"/>
    <s v="Credit Card"/>
    <s v="Josephborough"/>
    <n v="44"/>
    <x v="0"/>
    <s v="Medium"/>
    <n v="2.78"/>
  </r>
  <r>
    <n v="33"/>
    <n v="2267"/>
    <n v="693"/>
    <s v="Beauty"/>
    <n v="1"/>
    <n v="623.45000000000005"/>
    <n v="0.13"/>
    <d v="2024-06-26T03:10:11"/>
    <s v="PayPal"/>
    <s v="Noahbury"/>
    <n v="67"/>
    <x v="1"/>
    <s v="High"/>
    <n v="65.39"/>
  </r>
  <r>
    <n v="34"/>
    <n v="2528"/>
    <n v="544"/>
    <s v="Electronics"/>
    <n v="3"/>
    <n v="316.88"/>
    <n v="0.16"/>
    <d v="2023-09-16T17:22:21"/>
    <s v="Bank Transfer"/>
    <s v="Bowmanport"/>
    <n v="40"/>
    <x v="2"/>
    <s v="High"/>
    <n v="22.59"/>
  </r>
  <r>
    <n v="35"/>
    <n v="4556"/>
    <n v="773"/>
    <s v="Books"/>
    <n v="1"/>
    <n v="560.67999999999995"/>
    <n v="0.22"/>
    <d v="2023-11-18T18:04:26"/>
    <s v="Bank Transfer"/>
    <s v="South Melvinville"/>
    <n v="32"/>
    <x v="0"/>
    <s v="High"/>
    <n v="50.36"/>
  </r>
  <r>
    <n v="36"/>
    <n v="4890"/>
    <n v="414"/>
    <s v="Sports"/>
    <n v="3"/>
    <n v="423.86"/>
    <n v="0.26"/>
    <d v="2024-01-14T01:16:35"/>
    <s v="Cash on Delivery"/>
    <s v="East Brittany"/>
    <n v="67"/>
    <x v="2"/>
    <s v="Low"/>
    <n v="16.57"/>
  </r>
  <r>
    <n v="37"/>
    <n v="9838"/>
    <n v="900"/>
    <s v="Beauty"/>
    <n v="1"/>
    <n v="629.44000000000005"/>
    <n v="0.23"/>
    <d v="2023-11-12T01:30:26"/>
    <s v="Debit Card"/>
    <s v="Lake Stephaniefurt"/>
    <n v="42"/>
    <x v="1"/>
    <s v="High"/>
    <n v="97.39"/>
  </r>
  <r>
    <n v="38"/>
    <n v="6393"/>
    <n v="907"/>
    <s v="Books"/>
    <n v="1"/>
    <n v="330.09"/>
    <n v="0.21"/>
    <d v="2024-08-17T13:48:43"/>
    <s v="Credit Card"/>
    <s v="North Adam"/>
    <n v="37"/>
    <x v="1"/>
    <s v="High"/>
    <n v="1.59"/>
  </r>
  <r>
    <n v="39"/>
    <n v="9792"/>
    <n v="172"/>
    <s v="Electronics"/>
    <n v="4"/>
    <n v="862.67"/>
    <n v="0.01"/>
    <d v="2023-12-19T01:35:37"/>
    <s v="PayPal"/>
    <s v="Sancheztown"/>
    <n v="55"/>
    <x v="0"/>
    <s v="High"/>
    <n v="34.06"/>
  </r>
  <r>
    <n v="40"/>
    <n v="9433"/>
    <n v="951"/>
    <s v="Books"/>
    <n v="1"/>
    <n v="511.03"/>
    <n v="0.01"/>
    <d v="2023-11-20T20:28:37"/>
    <s v="Credit Card"/>
    <s v="Burtonmouth"/>
    <n v="40"/>
    <x v="2"/>
    <s v="Low"/>
    <n v="85.58"/>
  </r>
  <r>
    <n v="41"/>
    <n v="8513"/>
    <n v="907"/>
    <s v="Toys"/>
    <n v="2"/>
    <n v="42.59"/>
    <n v="0.06"/>
    <d v="2024-08-26T07:33:38"/>
    <s v="Cash on Delivery"/>
    <s v="Lake Josephmouth"/>
    <n v="68"/>
    <x v="2"/>
    <s v="Low"/>
    <n v="51.92"/>
  </r>
  <r>
    <n v="42"/>
    <n v="3612"/>
    <n v="785"/>
    <s v="Home &amp; Kitchen"/>
    <n v="3"/>
    <n v="143.9"/>
    <n v="0.09"/>
    <d v="2024-05-24T07:56:09"/>
    <s v="Debit Card"/>
    <s v="Clarkeville"/>
    <n v="41"/>
    <x v="1"/>
    <s v="Medium"/>
    <n v="57.88"/>
  </r>
  <r>
    <n v="43"/>
    <n v="8041"/>
    <n v="101"/>
    <s v="Clothing"/>
    <n v="3"/>
    <n v="202.28"/>
    <n v="0.11"/>
    <d v="2023-10-12T07:30:30"/>
    <s v="Cash on Delivery"/>
    <s v="Christopherside"/>
    <n v="57"/>
    <x v="2"/>
    <s v="Medium"/>
    <n v="39.869999999999997"/>
  </r>
  <r>
    <n v="44"/>
    <n v="7235"/>
    <n v="718"/>
    <s v="Beauty"/>
    <n v="3"/>
    <n v="108.93"/>
    <n v="0.12"/>
    <d v="2023-11-26T19:53:06"/>
    <s v="Debit Card"/>
    <s v="Deborahton"/>
    <n v="25"/>
    <x v="1"/>
    <s v="Medium"/>
    <n v="13.93"/>
  </r>
  <r>
    <n v="45"/>
    <n v="6486"/>
    <n v="778"/>
    <s v="Sports"/>
    <n v="4"/>
    <n v="176.51"/>
    <n v="0.01"/>
    <d v="2024-07-26T23:44:49"/>
    <s v="Debit Card"/>
    <s v="Ewingbury"/>
    <n v="53"/>
    <x v="0"/>
    <s v="Medium"/>
    <n v="46.24"/>
  </r>
  <r>
    <n v="46"/>
    <n v="8099"/>
    <n v="120"/>
    <s v="Sports"/>
    <n v="2"/>
    <n v="309.39"/>
    <n v="0.05"/>
    <d v="2024-05-27T01:53:06"/>
    <s v="Debit Card"/>
    <s v="Michelleborough"/>
    <n v="43"/>
    <x v="1"/>
    <s v="Low"/>
    <n v="68.94"/>
  </r>
  <r>
    <n v="47"/>
    <n v="1775"/>
    <n v="561"/>
    <s v="Sports"/>
    <n v="1"/>
    <n v="947.84"/>
    <n v="0.26"/>
    <d v="2023-09-24T06:40:27"/>
    <s v="Cash on Delivery"/>
    <s v="South Cathy"/>
    <n v="32"/>
    <x v="1"/>
    <s v="Low"/>
    <n v="37.53"/>
  </r>
  <r>
    <n v="48"/>
    <n v="9226"/>
    <n v="449"/>
    <s v="Toys"/>
    <n v="2"/>
    <n v="984.98"/>
    <n v="0.23"/>
    <d v="2023-09-11T13:03:06"/>
    <s v="Credit Card"/>
    <s v="Garciaburgh"/>
    <n v="58"/>
    <x v="1"/>
    <s v="High"/>
    <n v="0.53"/>
  </r>
  <r>
    <n v="49"/>
    <n v="4152"/>
    <n v="653"/>
    <s v="Sports"/>
    <n v="4"/>
    <n v="157.11000000000001"/>
    <n v="0.03"/>
    <d v="2024-06-08T03:49:08"/>
    <s v="Bank Transfer"/>
    <s v="Berryfort"/>
    <n v="64"/>
    <x v="1"/>
    <s v="Low"/>
    <n v="98.52"/>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n v="1"/>
    <n v="8270"/>
    <n v="295"/>
    <x v="0"/>
    <x v="0"/>
    <n v="801.66"/>
    <n v="0.13"/>
    <x v="0"/>
    <s v="Cash on Delivery"/>
    <s v="New Juan"/>
    <n v="46"/>
    <s v="Female"/>
    <x v="0"/>
    <n v="83.36"/>
    <n v="5"/>
    <s v="North"/>
    <n v="5200"/>
    <n v="800"/>
  </r>
  <r>
    <n v="2"/>
    <n v="1860"/>
    <n v="546"/>
    <x v="1"/>
    <x v="0"/>
    <n v="225.03"/>
    <n v="0.06"/>
    <x v="1"/>
    <s v="Debit Card"/>
    <s v="South Julie"/>
    <n v="59"/>
    <s v="Other"/>
    <x v="1"/>
    <n v="58.88"/>
    <n v="5"/>
    <s v="South"/>
    <n v="3400"/>
    <n v="450"/>
  </r>
  <r>
    <n v="3"/>
    <n v="6390"/>
    <n v="430"/>
    <x v="2"/>
    <x v="1"/>
    <n v="544.99"/>
    <n v="0.24"/>
    <x v="2"/>
    <s v="Debit Card"/>
    <s v="West Carrieview"/>
    <n v="61"/>
    <s v="Female"/>
    <x v="1"/>
    <n v="53.99"/>
    <n v="5"/>
    <s v="East"/>
    <n v="6100"/>
    <n v="1200"/>
  </r>
  <r>
    <n v="4"/>
    <n v="6191"/>
    <n v="807"/>
    <x v="1"/>
    <x v="1"/>
    <n v="157.02000000000001"/>
    <n v="0.01"/>
    <x v="3"/>
    <s v="Bank Transfer"/>
    <s v="Christianberg"/>
    <n v="69"/>
    <s v="Female"/>
    <x v="2"/>
    <n v="-11.73"/>
    <n v="5"/>
    <s v="West"/>
    <n v="2800"/>
    <n v="-100"/>
  </r>
  <r>
    <n v="5"/>
    <n v="6734"/>
    <n v="319"/>
    <x v="3"/>
    <x v="1"/>
    <n v="155.51"/>
    <n v="0.14000000000000001"/>
    <x v="4"/>
    <s v="Debit Card"/>
    <s v="South Williamhaven"/>
    <n v="29"/>
    <s v="Other"/>
    <x v="1"/>
    <n v="-44.5"/>
    <n v="5"/>
    <s v="North"/>
    <n v="7500"/>
    <n v="1800"/>
  </r>
  <r>
    <n v="6"/>
    <n v="7265"/>
    <n v="282"/>
    <x v="4"/>
    <x v="2"/>
    <n v="225.65"/>
    <n v="0.18"/>
    <x v="5"/>
    <s v="Bank Transfer"/>
    <s v="Stephenfort"/>
    <n v="60"/>
    <s v="Male"/>
    <x v="1"/>
    <n v="25.78"/>
    <n v="5"/>
    <s v="South"/>
    <n v="4100"/>
    <n v="600"/>
  </r>
  <r>
    <n v="7"/>
    <n v="1466"/>
    <n v="276"/>
    <x v="1"/>
    <x v="2"/>
    <n v="631.96"/>
    <n v="0.09"/>
    <x v="6"/>
    <s v="Credit Card"/>
    <s v="North Terristad"/>
    <n v="69"/>
    <s v="Male"/>
    <x v="2"/>
    <n v="68.36"/>
    <n v="5"/>
    <s v="East"/>
    <n v="3200"/>
    <n v="300"/>
  </r>
  <r>
    <n v="8"/>
    <n v="5426"/>
    <n v="574"/>
    <x v="5"/>
    <x v="0"/>
    <n v="522.87"/>
    <n v="0.28999999999999998"/>
    <x v="7"/>
    <s v="Cash on Delivery"/>
    <s v="Pachecotown"/>
    <n v="45"/>
    <s v="Female"/>
    <x v="1"/>
    <n v="19.23"/>
    <n v="4"/>
    <s v="West"/>
    <n v="5600"/>
    <n v="950"/>
  </r>
  <r>
    <n v="9"/>
    <n v="6578"/>
    <n v="948"/>
    <x v="4"/>
    <x v="3"/>
    <n v="202.66"/>
    <n v="0.12"/>
    <x v="8"/>
    <s v="Cash on Delivery"/>
    <s v="Port Philipberg"/>
    <n v="37"/>
    <s v="Male"/>
    <x v="2"/>
    <n v="28.61"/>
    <n v="5"/>
    <s v="North"/>
    <n v="4900"/>
    <n v="700"/>
  </r>
  <r>
    <n v="10"/>
    <n v="9322"/>
    <n v="459"/>
    <x v="2"/>
    <x v="2"/>
    <n v="401.52"/>
    <n v="0.23"/>
    <x v="9"/>
    <s v="Cash on Delivery"/>
    <s v="Jenniferfurt"/>
    <n v="67"/>
    <s v="Female"/>
    <x v="2"/>
    <n v="35.18"/>
    <n v="5"/>
    <s v="South"/>
    <n v="2200"/>
    <n v="-50"/>
  </r>
  <r>
    <n v="11"/>
    <n v="2685"/>
    <n v="745"/>
    <x v="0"/>
    <x v="2"/>
    <n v="346.31"/>
    <n v="0.06"/>
    <x v="10"/>
    <s v="Cash on Delivery"/>
    <s v="Lake Carolyn"/>
    <n v="36"/>
    <s v="Other"/>
    <x v="2"/>
    <n v="76.819999999999993"/>
    <n v="5"/>
    <s v="East"/>
    <n v="6800"/>
    <n v="1400"/>
  </r>
  <r>
    <n v="12"/>
    <n v="1769"/>
    <n v="564"/>
    <x v="5"/>
    <x v="0"/>
    <n v="434.15"/>
    <n v="0.05"/>
    <x v="11"/>
    <s v="Bank Transfer"/>
    <s v="Amandaborough"/>
    <n v="61"/>
    <s v="Other"/>
    <x v="1"/>
    <n v="26.24"/>
    <n v="5"/>
    <s v="West"/>
    <n v="3700"/>
    <n v="500"/>
  </r>
  <r>
    <n v="13"/>
    <n v="7949"/>
    <n v="334"/>
    <x v="3"/>
    <x v="2"/>
    <n v="189.87"/>
    <n v="0.25"/>
    <x v="12"/>
    <s v="Credit Card"/>
    <s v="South Maria"/>
    <n v="65"/>
    <s v="Other"/>
    <x v="2"/>
    <n v="39.909999999999997"/>
    <n v="5"/>
    <s v="North"/>
    <n v="8100"/>
    <n v="2200"/>
  </r>
  <r>
    <n v="14"/>
    <n v="3433"/>
    <n v="536"/>
    <x v="6"/>
    <x v="0"/>
    <n v="559.1"/>
    <n v="0.15"/>
    <x v="13"/>
    <s v="Debit Card"/>
    <s v="West Marissa"/>
    <n v="35"/>
    <s v="Male"/>
    <x v="2"/>
    <n v="69.39"/>
    <n v="5"/>
    <s v="South"/>
    <n v="4600"/>
    <n v="650"/>
  </r>
  <r>
    <n v="15"/>
    <n v="6311"/>
    <n v="239"/>
    <x v="2"/>
    <x v="2"/>
    <n v="29.01"/>
    <n v="0.26"/>
    <x v="14"/>
    <s v="Cash on Delivery"/>
    <s v="Austinburgh"/>
    <n v="20"/>
    <s v="Other"/>
    <x v="1"/>
    <n v="10.33"/>
    <n v="5"/>
    <s v="East"/>
    <n v="2900"/>
    <n v="250"/>
  </r>
  <r>
    <n v="16"/>
    <n v="6051"/>
    <n v="587"/>
    <x v="2"/>
    <x v="1"/>
    <n v="541.5"/>
    <n v="0.22"/>
    <x v="15"/>
    <s v="Bank Transfer"/>
    <s v="Lake Jesse"/>
    <n v="46"/>
    <s v="Other"/>
    <x v="2"/>
    <n v="41.77"/>
    <n v="5"/>
    <s v="West"/>
    <n v="6200"/>
    <n v="1100"/>
  </r>
  <r>
    <n v="17"/>
    <n v="7420"/>
    <n v="868"/>
    <x v="1"/>
    <x v="3"/>
    <n v="218.68"/>
    <n v="0.19"/>
    <x v="16"/>
    <s v="Credit Card"/>
    <s v="Marioburgh"/>
    <n v="21"/>
    <s v="Other"/>
    <x v="0"/>
    <n v="9.93"/>
    <n v="5"/>
    <s v="North"/>
    <n v="5300"/>
    <n v="850"/>
  </r>
  <r>
    <n v="18"/>
    <n v="2184"/>
    <n v="384"/>
    <x v="0"/>
    <x v="1"/>
    <n v="439.07"/>
    <n v="0.26"/>
    <x v="17"/>
    <s v="PayPal"/>
    <s v="Ryanhaven"/>
    <n v="23"/>
    <s v="Other"/>
    <x v="0"/>
    <n v="97.73"/>
    <n v="5"/>
    <s v="South"/>
    <n v="3100"/>
    <n v="400"/>
  </r>
  <r>
    <n v="19"/>
    <n v="5555"/>
    <n v="701"/>
    <x v="4"/>
    <x v="3"/>
    <n v="849.82"/>
    <n v="0.12"/>
    <x v="18"/>
    <s v="Cash on Delivery"/>
    <s v="Dickersonmouth"/>
    <n v="52"/>
    <s v="Female"/>
    <x v="2"/>
    <n v="54.32"/>
    <n v="5"/>
    <s v="East"/>
    <n v="7200"/>
    <n v="1600"/>
  </r>
  <r>
    <n v="20"/>
    <n v="4385"/>
    <n v="427"/>
    <x v="3"/>
    <x v="0"/>
    <n v="886.69"/>
    <n v="0.28000000000000003"/>
    <x v="19"/>
    <s v="Debit Card"/>
    <s v="Annaborough"/>
    <n v="46"/>
    <s v="Other"/>
    <x v="2"/>
    <n v="57.35"/>
    <n v="5"/>
    <s v="West"/>
    <n v="4300"/>
    <n v="550"/>
  </r>
  <r>
    <n v="21"/>
    <n v="7396"/>
    <n v="150"/>
    <x v="2"/>
    <x v="1"/>
    <n v="137.79"/>
    <n v="0.04"/>
    <x v="20"/>
    <s v="Credit Card"/>
    <s v="Ramirezburgh"/>
    <n v="60"/>
    <s v="Male"/>
    <x v="0"/>
    <n v="41.08"/>
    <n v="5"/>
    <s v="North"/>
    <n v="6700"/>
    <n v="1300"/>
  </r>
  <r>
    <n v="22"/>
    <n v="9666"/>
    <n v="797"/>
    <x v="3"/>
    <x v="3"/>
    <n v="6.58"/>
    <n v="0.04"/>
    <x v="21"/>
    <s v="PayPal"/>
    <s v="Sextonberg"/>
    <n v="54"/>
    <s v="Female"/>
    <x v="0"/>
    <n v="88.02"/>
    <n v="5"/>
    <s v="South"/>
    <n v="2500"/>
    <n v="150"/>
  </r>
  <r>
    <n v="23"/>
    <n v="3558"/>
    <n v="577"/>
    <x v="2"/>
    <x v="2"/>
    <n v="888.2"/>
    <n v="0.04"/>
    <x v="22"/>
    <s v="Cash on Delivery"/>
    <s v="Beasleyshire"/>
    <n v="29"/>
    <s v="Other"/>
    <x v="0"/>
    <n v="67.510000000000005"/>
    <n v="5"/>
    <s v="East"/>
    <n v="5800"/>
    <n v="900"/>
  </r>
  <r>
    <n v="24"/>
    <n v="8849"/>
    <n v="385"/>
    <x v="2"/>
    <x v="3"/>
    <n v="109.35"/>
    <n v="0.15"/>
    <x v="23"/>
    <s v="Debit Card"/>
    <s v="Lake Brittneyland"/>
    <n v="45"/>
    <s v="Female"/>
    <x v="1"/>
    <n v="18.760000000000002"/>
    <n v="5"/>
    <s v="West"/>
    <n v="3900"/>
    <n v="0"/>
  </r>
  <r>
    <n v="25"/>
    <n v="3047"/>
    <n v="419"/>
    <x v="3"/>
    <x v="3"/>
    <n v="144.08000000000001"/>
    <n v="0.28000000000000003"/>
    <x v="24"/>
    <s v="Cash on Delivery"/>
    <s v="South John"/>
    <n v="38"/>
    <s v="Male"/>
    <x v="1"/>
    <n v="33.4"/>
    <n v="5"/>
    <s v="North"/>
    <n v="8400"/>
    <n v="2500"/>
  </r>
  <r>
    <n v="26"/>
    <n v="3747"/>
    <n v="733"/>
    <x v="5"/>
    <x v="3"/>
    <n v="576.59"/>
    <n v="0.2"/>
    <x v="25"/>
    <s v="Bank Transfer"/>
    <s v="New Devin"/>
    <n v="52"/>
    <s v="Male"/>
    <x v="2"/>
    <n v="21.91"/>
    <n v="5"/>
    <s v="South"/>
    <n v="4700"/>
    <n v="700"/>
  </r>
  <r>
    <n v="27"/>
    <n v="1189"/>
    <n v="278"/>
    <x v="3"/>
    <x v="2"/>
    <n v="954.41"/>
    <n v="0.11"/>
    <x v="26"/>
    <s v="PayPal"/>
    <s v="Lake Denise"/>
    <n v="66"/>
    <s v="Male"/>
    <x v="2"/>
    <n v="81.489999999999995"/>
    <n v="5"/>
    <s v="East"/>
    <n v="3400"/>
    <n v="350"/>
  </r>
  <r>
    <n v="28"/>
    <n v="3734"/>
    <n v="231"/>
    <x v="6"/>
    <x v="2"/>
    <n v="513.82000000000005"/>
    <n v="0.05"/>
    <x v="27"/>
    <s v="Credit Card"/>
    <s v="South Susan"/>
    <n v="34"/>
    <s v="Male"/>
    <x v="2"/>
    <n v="77.27"/>
    <n v="5"/>
    <s v="West"/>
    <n v="6500"/>
    <n v="1250"/>
  </r>
  <r>
    <n v="29"/>
    <n v="4005"/>
    <n v="699"/>
    <x v="5"/>
    <x v="0"/>
    <n v="767.89"/>
    <n v="0.11"/>
    <x v="28"/>
    <s v="Credit Card"/>
    <s v="Johnsonchester"/>
    <n v="52"/>
    <s v="Other"/>
    <x v="1"/>
    <n v="26.78"/>
    <n v="5"/>
    <s v="North"/>
    <n v="5600"/>
    <n v="950"/>
  </r>
  <r>
    <n v="30"/>
    <n v="5658"/>
    <n v="829"/>
    <x v="1"/>
    <x v="3"/>
    <n v="653.79"/>
    <n v="0.01"/>
    <x v="29"/>
    <s v="Cash on Delivery"/>
    <s v="Martinberg"/>
    <n v="68"/>
    <s v="Female"/>
    <x v="2"/>
    <n v="39.340000000000003"/>
    <n v="5"/>
    <s v="South"/>
    <n v="2800"/>
    <n v="200"/>
  </r>
  <r>
    <n v="31"/>
    <n v="2899"/>
    <n v="299"/>
    <x v="6"/>
    <x v="0"/>
    <n v="361.67"/>
    <n v="0.06"/>
    <x v="30"/>
    <s v="Credit Card"/>
    <s v="Lake Billy"/>
    <n v="23"/>
    <s v="Other"/>
    <x v="2"/>
    <n v="91.11"/>
    <n v="5"/>
    <s v="East"/>
    <n v="7700"/>
    <n v="1800"/>
  </r>
  <r>
    <n v="32"/>
    <n v="8734"/>
    <n v="706"/>
    <x v="3"/>
    <x v="0"/>
    <n v="327.64"/>
    <n v="0.28000000000000003"/>
    <x v="31"/>
    <s v="Credit Card"/>
    <s v="Josephborough"/>
    <n v="44"/>
    <s v="Female"/>
    <x v="0"/>
    <n v="2.78"/>
    <n v="5"/>
    <s v="West"/>
    <n v="4500"/>
    <n v="600"/>
  </r>
  <r>
    <n v="33"/>
    <n v="2267"/>
    <n v="693"/>
    <x v="1"/>
    <x v="0"/>
    <n v="623.45000000000005"/>
    <n v="0.13"/>
    <x v="32"/>
    <s v="PayPal"/>
    <s v="Noahbury"/>
    <n v="67"/>
    <s v="Other"/>
    <x v="1"/>
    <n v="65.39"/>
    <n v="5"/>
    <s v="North"/>
    <n v="6100"/>
    <n v="1100"/>
  </r>
  <r>
    <n v="34"/>
    <n v="2528"/>
    <n v="544"/>
    <x v="3"/>
    <x v="2"/>
    <n v="316.88"/>
    <n v="0.16"/>
    <x v="33"/>
    <s v="Bank Transfer"/>
    <s v="Bowmanport"/>
    <n v="40"/>
    <s v="Male"/>
    <x v="1"/>
    <n v="22.59"/>
    <n v="5"/>
    <s v="South"/>
    <n v="3600"/>
    <n v="500"/>
  </r>
  <r>
    <n v="35"/>
    <n v="4556"/>
    <n v="773"/>
    <x v="4"/>
    <x v="0"/>
    <n v="560.67999999999995"/>
    <n v="0.22"/>
    <x v="34"/>
    <s v="Bank Transfer"/>
    <s v="South Melvinville"/>
    <n v="32"/>
    <s v="Female"/>
    <x v="1"/>
    <n v="50.36"/>
    <n v="5"/>
    <s v="East"/>
    <n v="4900"/>
    <n v="750"/>
  </r>
  <r>
    <n v="36"/>
    <n v="4890"/>
    <n v="414"/>
    <x v="5"/>
    <x v="2"/>
    <n v="423.86"/>
    <n v="0.26"/>
    <x v="35"/>
    <s v="Cash on Delivery"/>
    <s v="East Brittany"/>
    <n v="67"/>
    <s v="Male"/>
    <x v="2"/>
    <n v="16.57"/>
    <n v="5"/>
    <s v="West"/>
    <n v="7000"/>
    <n v="1500"/>
  </r>
  <r>
    <n v="37"/>
    <n v="9838"/>
    <n v="900"/>
    <x v="1"/>
    <x v="0"/>
    <n v="629.44000000000005"/>
    <n v="0.23"/>
    <x v="36"/>
    <s v="Debit Card"/>
    <s v="Lake Stephaniefurt"/>
    <n v="42"/>
    <s v="Other"/>
    <x v="1"/>
    <n v="97.39"/>
    <n v="5"/>
    <s v="North"/>
    <n v="3200"/>
    <n v="300"/>
  </r>
  <r>
    <n v="38"/>
    <n v="6393"/>
    <n v="907"/>
    <x v="4"/>
    <x v="0"/>
    <n v="330.09"/>
    <n v="0.21"/>
    <x v="37"/>
    <s v="Credit Card"/>
    <s v="North Adam"/>
    <n v="37"/>
    <s v="Other"/>
    <x v="1"/>
    <n v="1.59"/>
    <n v="5"/>
    <s v="South"/>
    <n v="5400"/>
    <n v="850"/>
  </r>
  <r>
    <n v="39"/>
    <n v="9792"/>
    <n v="172"/>
    <x v="3"/>
    <x v="3"/>
    <n v="862.67"/>
    <n v="0.01"/>
    <x v="38"/>
    <s v="PayPal"/>
    <s v="Sancheztown"/>
    <n v="55"/>
    <s v="Female"/>
    <x v="1"/>
    <n v="34.06"/>
    <n v="5"/>
    <s v="East"/>
    <n v="2600"/>
    <n v="120"/>
  </r>
  <r>
    <n v="40"/>
    <n v="9433"/>
    <n v="951"/>
    <x v="4"/>
    <x v="0"/>
    <n v="511.03"/>
    <n v="0.01"/>
    <x v="39"/>
    <s v="Credit Card"/>
    <s v="Burtonmouth"/>
    <n v="40"/>
    <s v="Male"/>
    <x v="2"/>
    <n v="85.58"/>
    <n v="5"/>
    <s v="West"/>
    <n v="5900"/>
    <n v="1000"/>
  </r>
  <r>
    <n v="41"/>
    <n v="8513"/>
    <n v="907"/>
    <x v="2"/>
    <x v="1"/>
    <n v="42.59"/>
    <n v="0.06"/>
    <x v="40"/>
    <s v="Cash on Delivery"/>
    <s v="Lake Josephmouth"/>
    <n v="68"/>
    <s v="Male"/>
    <x v="2"/>
    <n v="51.92"/>
    <n v="5"/>
    <s v="North"/>
    <n v="7300"/>
    <n v="1700"/>
  </r>
  <r>
    <n v="42"/>
    <n v="3612"/>
    <n v="785"/>
    <x v="6"/>
    <x v="2"/>
    <n v="143.9"/>
    <n v="0.09"/>
    <x v="41"/>
    <s v="Debit Card"/>
    <s v="Clarkeville"/>
    <n v="41"/>
    <s v="Other"/>
    <x v="0"/>
    <n v="57.88"/>
    <n v="5"/>
    <s v="South"/>
    <n v="4200"/>
    <n v="650"/>
  </r>
  <r>
    <n v="43"/>
    <n v="8041"/>
    <n v="101"/>
    <x v="0"/>
    <x v="2"/>
    <n v="202.28"/>
    <n v="0.11"/>
    <x v="42"/>
    <s v="Cash on Delivery"/>
    <s v="Christopherside"/>
    <n v="57"/>
    <s v="Male"/>
    <x v="0"/>
    <n v="39.869999999999997"/>
    <n v="5"/>
    <s v="East"/>
    <n v="6400"/>
    <n v="1200"/>
  </r>
  <r>
    <n v="44"/>
    <n v="7235"/>
    <n v="718"/>
    <x v="1"/>
    <x v="2"/>
    <n v="108.93"/>
    <n v="0.12"/>
    <x v="43"/>
    <s v="Debit Card"/>
    <s v="Deborahton"/>
    <n v="25"/>
    <s v="Other"/>
    <x v="0"/>
    <n v="13.93"/>
    <n v="5"/>
    <s v="West"/>
    <n v="3100"/>
    <n v="250"/>
  </r>
  <r>
    <n v="45"/>
    <n v="6486"/>
    <n v="778"/>
    <x v="5"/>
    <x v="3"/>
    <n v="176.51"/>
    <n v="0.01"/>
    <x v="44"/>
    <s v="Debit Card"/>
    <s v="Ewingbury"/>
    <n v="53"/>
    <s v="Female"/>
    <x v="0"/>
    <n v="46.24"/>
    <n v="5"/>
    <s v="North"/>
    <n v="8800"/>
    <n v="2800"/>
  </r>
  <r>
    <n v="46"/>
    <n v="8099"/>
    <n v="120"/>
    <x v="5"/>
    <x v="1"/>
    <n v="309.39"/>
    <n v="0.05"/>
    <x v="45"/>
    <s v="Debit Card"/>
    <s v="Michelleborough"/>
    <n v="43"/>
    <s v="Other"/>
    <x v="2"/>
    <n v="68.94"/>
    <n v="5"/>
    <s v="South"/>
    <n v="3800"/>
    <n v="550"/>
  </r>
  <r>
    <n v="47"/>
    <n v="1775"/>
    <n v="561"/>
    <x v="5"/>
    <x v="0"/>
    <n v="947.84"/>
    <n v="0.26"/>
    <x v="46"/>
    <s v="Cash on Delivery"/>
    <s v="South Cathy"/>
    <n v="32"/>
    <s v="Other"/>
    <x v="2"/>
    <n v="37.53"/>
    <n v="5"/>
    <s v="East"/>
    <n v="5200"/>
    <n v="800"/>
  </r>
  <r>
    <n v="48"/>
    <n v="9226"/>
    <n v="449"/>
    <x v="2"/>
    <x v="1"/>
    <n v="984.98"/>
    <n v="0.23"/>
    <x v="47"/>
    <s v="Credit Card"/>
    <s v="Garciaburgh"/>
    <n v="58"/>
    <s v="Other"/>
    <x v="1"/>
    <n v="0"/>
    <n v="5"/>
    <s v="West"/>
    <n v="4700"/>
    <n v="700"/>
  </r>
  <r>
    <n v="49"/>
    <n v="4152"/>
    <n v="653"/>
    <x v="5"/>
    <x v="3"/>
    <n v="157.11000000000001"/>
    <n v="0.03"/>
    <x v="48"/>
    <s v="Bank Transfer"/>
    <s v="Berryfort"/>
    <n v="64"/>
    <s v="Other"/>
    <x v="2"/>
    <n v="98.52"/>
    <n v="5"/>
    <s v="North"/>
    <n v="6900"/>
    <n v="140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n v="1"/>
    <n v="8270"/>
    <n v="295"/>
    <s v="Clothing"/>
    <n v="1"/>
    <n v="801.66"/>
    <n v="0.13"/>
    <d v="2023-12-22T10:35:26"/>
    <s v="Cash on Delivery"/>
    <s v="New Juan"/>
    <n v="46"/>
    <x v="0"/>
    <s v="Medium"/>
    <n v="83.36"/>
    <n v="5"/>
    <s v="North"/>
    <n v="5200"/>
    <n v="800"/>
  </r>
  <r>
    <n v="2"/>
    <n v="1860"/>
    <n v="546"/>
    <s v="Beauty"/>
    <n v="1"/>
    <n v="225.03"/>
    <n v="0.06"/>
    <d v="2024-05-05T10:40:33"/>
    <s v="Debit Card"/>
    <s v="South Julie"/>
    <n v="59"/>
    <x v="1"/>
    <s v="High"/>
    <n v="58.88"/>
    <n v="5"/>
    <s v="South"/>
    <n v="3400"/>
    <n v="450"/>
  </r>
  <r>
    <n v="3"/>
    <n v="6390"/>
    <n v="430"/>
    <s v="Toys"/>
    <n v="2"/>
    <n v="544.99"/>
    <n v="0.24"/>
    <d v="2023-12-04T05:22:59"/>
    <s v="Debit Card"/>
    <s v="West Carrieview"/>
    <n v="61"/>
    <x v="0"/>
    <s v="High"/>
    <n v="53.99"/>
    <n v="5"/>
    <s v="East"/>
    <n v="6100"/>
    <n v="1200"/>
  </r>
  <r>
    <n v="4"/>
    <n v="6191"/>
    <n v="807"/>
    <s v="Beauty"/>
    <n v="2"/>
    <n v="157.02000000000001"/>
    <n v="0.01"/>
    <d v="2024-01-02T11:11:00"/>
    <s v="Bank Transfer"/>
    <s v="Christianberg"/>
    <n v="69"/>
    <x v="0"/>
    <s v="Low"/>
    <n v="-11.73"/>
    <n v="5"/>
    <s v="West"/>
    <n v="2800"/>
    <n v="-100"/>
  </r>
  <r>
    <n v="5"/>
    <n v="6734"/>
    <n v="319"/>
    <s v="Electronics"/>
    <n v="2"/>
    <n v="155.51"/>
    <n v="0.14000000000000001"/>
    <d v="2024-06-18T01:01:29"/>
    <s v="Debit Card"/>
    <s v="South Williamhaven"/>
    <n v="29"/>
    <x v="1"/>
    <s v="High"/>
    <n v="-44.5"/>
    <n v="5"/>
    <s v="North"/>
    <n v="7500"/>
    <n v="1800"/>
  </r>
  <r>
    <n v="6"/>
    <n v="7265"/>
    <n v="282"/>
    <s v="Books"/>
    <n v="3"/>
    <n v="225.65"/>
    <n v="0.18"/>
    <d v="2024-03-06T06:15:28"/>
    <s v="Bank Transfer"/>
    <s v="Stephenfort"/>
    <n v="60"/>
    <x v="2"/>
    <s v="High"/>
    <n v="25.78"/>
    <n v="5"/>
    <s v="South"/>
    <n v="4100"/>
    <n v="600"/>
  </r>
  <r>
    <n v="7"/>
    <n v="1466"/>
    <n v="276"/>
    <s v="Beauty"/>
    <n v="3"/>
    <n v="631.96"/>
    <n v="0.09"/>
    <d v="2023-10-15T13:30:31"/>
    <s v="Credit Card"/>
    <s v="North Terristad"/>
    <n v="69"/>
    <x v="2"/>
    <s v="Low"/>
    <n v="68.36"/>
    <n v="5"/>
    <s v="East"/>
    <n v="3200"/>
    <n v="300"/>
  </r>
  <r>
    <n v="8"/>
    <n v="5426"/>
    <n v="574"/>
    <s v="Sports"/>
    <n v="1"/>
    <n v="522.87"/>
    <n v="0.28999999999999998"/>
    <d v="2024-05-16T01:46:00"/>
    <s v="Cash on Delivery"/>
    <s v="Pachecotown"/>
    <n v="45"/>
    <x v="0"/>
    <s v="High"/>
    <n v="19.23"/>
    <n v="4"/>
    <s v="West"/>
    <n v="5600"/>
    <n v="950"/>
  </r>
  <r>
    <n v="9"/>
    <n v="6578"/>
    <n v="948"/>
    <s v="Books"/>
    <n v="4"/>
    <n v="202.66"/>
    <n v="0.12"/>
    <d v="2024-08-04T17:13:39"/>
    <s v="Cash on Delivery"/>
    <s v="Port Philipberg"/>
    <n v="37"/>
    <x v="2"/>
    <s v="Low"/>
    <n v="28.61"/>
    <n v="5"/>
    <s v="North"/>
    <n v="4900"/>
    <n v="700"/>
  </r>
  <r>
    <n v="10"/>
    <n v="9322"/>
    <n v="459"/>
    <s v="Toys"/>
    <n v="3"/>
    <n v="401.52"/>
    <n v="0.23"/>
    <d v="2023-12-18T18:38:53"/>
    <s v="Cash on Delivery"/>
    <s v="Jenniferfurt"/>
    <n v="67"/>
    <x v="0"/>
    <s v="Low"/>
    <n v="35.18"/>
    <n v="5"/>
    <s v="South"/>
    <n v="2200"/>
    <n v="-50"/>
  </r>
  <r>
    <n v="11"/>
    <n v="2685"/>
    <n v="745"/>
    <s v="Clothing"/>
    <n v="3"/>
    <n v="346.31"/>
    <n v="0.06"/>
    <d v="2024-05-26T02:56:46"/>
    <s v="Cash on Delivery"/>
    <s v="Lake Carolyn"/>
    <n v="36"/>
    <x v="1"/>
    <s v="Low"/>
    <n v="76.819999999999993"/>
    <n v="5"/>
    <s v="East"/>
    <n v="6800"/>
    <n v="1400"/>
  </r>
  <r>
    <n v="12"/>
    <n v="1769"/>
    <n v="564"/>
    <s v="Sports"/>
    <n v="1"/>
    <n v="434.15"/>
    <n v="0.05"/>
    <d v="2023-09-26T05:18:30"/>
    <s v="Bank Transfer"/>
    <s v="Amandaborough"/>
    <n v="61"/>
    <x v="1"/>
    <s v="High"/>
    <n v="26.24"/>
    <n v="5"/>
    <s v="West"/>
    <n v="3700"/>
    <n v="500"/>
  </r>
  <r>
    <n v="13"/>
    <n v="7949"/>
    <n v="334"/>
    <s v="Electronics"/>
    <n v="3"/>
    <n v="189.87"/>
    <n v="0.25"/>
    <d v="2023-12-13T23:53:52"/>
    <s v="Credit Card"/>
    <s v="South Maria"/>
    <n v="65"/>
    <x v="1"/>
    <s v="Low"/>
    <n v="39.909999999999997"/>
    <n v="5"/>
    <s v="North"/>
    <n v="8100"/>
    <n v="2200"/>
  </r>
  <r>
    <n v="14"/>
    <n v="3433"/>
    <n v="536"/>
    <s v="Home &amp; Kitchen"/>
    <n v="1"/>
    <n v="559.1"/>
    <n v="0.15"/>
    <d v="2023-12-02T07:44:27"/>
    <s v="Debit Card"/>
    <s v="West Marissa"/>
    <n v="35"/>
    <x v="2"/>
    <s v="Low"/>
    <n v="69.39"/>
    <n v="5"/>
    <s v="South"/>
    <n v="4600"/>
    <n v="650"/>
  </r>
  <r>
    <n v="15"/>
    <n v="6311"/>
    <n v="239"/>
    <s v="Toys"/>
    <n v="3"/>
    <n v="29.01"/>
    <n v="0.26"/>
    <d v="2024-03-01T17:49:13"/>
    <s v="Cash on Delivery"/>
    <s v="Austinburgh"/>
    <n v="20"/>
    <x v="1"/>
    <s v="High"/>
    <n v="10.33"/>
    <n v="5"/>
    <s v="East"/>
    <n v="2900"/>
    <n v="250"/>
  </r>
  <r>
    <n v="16"/>
    <n v="6051"/>
    <n v="587"/>
    <s v="Toys"/>
    <n v="2"/>
    <n v="541.5"/>
    <n v="0.22"/>
    <d v="2024-08-12T12:13:05"/>
    <s v="Bank Transfer"/>
    <s v="Lake Jesse"/>
    <n v="46"/>
    <x v="1"/>
    <s v="Low"/>
    <n v="41.77"/>
    <n v="5"/>
    <s v="West"/>
    <n v="6200"/>
    <n v="1100"/>
  </r>
  <r>
    <n v="17"/>
    <n v="7420"/>
    <n v="868"/>
    <s v="Beauty"/>
    <n v="4"/>
    <n v="218.68"/>
    <n v="0.19"/>
    <d v="2024-07-24T08:49:00"/>
    <s v="Credit Card"/>
    <s v="Marioburgh"/>
    <n v="21"/>
    <x v="1"/>
    <s v="Medium"/>
    <n v="9.93"/>
    <n v="5"/>
    <s v="North"/>
    <n v="5300"/>
    <n v="850"/>
  </r>
  <r>
    <n v="18"/>
    <n v="2184"/>
    <n v="384"/>
    <s v="Clothing"/>
    <n v="2"/>
    <n v="439.07"/>
    <n v="0.26"/>
    <d v="2024-06-14T18:03:29"/>
    <s v="PayPal"/>
    <s v="Ryanhaven"/>
    <n v="23"/>
    <x v="1"/>
    <s v="Medium"/>
    <n v="97.73"/>
    <n v="5"/>
    <s v="South"/>
    <n v="3100"/>
    <n v="400"/>
  </r>
  <r>
    <n v="19"/>
    <n v="5555"/>
    <n v="701"/>
    <s v="Books"/>
    <n v="4"/>
    <n v="849.82"/>
    <n v="0.12"/>
    <d v="2024-03-02T05:18:42"/>
    <s v="Cash on Delivery"/>
    <s v="Dickersonmouth"/>
    <n v="52"/>
    <x v="0"/>
    <s v="Low"/>
    <n v="54.32"/>
    <n v="5"/>
    <s v="East"/>
    <n v="7200"/>
    <n v="1600"/>
  </r>
  <r>
    <n v="20"/>
    <n v="4385"/>
    <n v="427"/>
    <s v="Electronics"/>
    <n v="1"/>
    <n v="886.69"/>
    <n v="0.28000000000000003"/>
    <d v="2024-05-19T13:22:45"/>
    <s v="Debit Card"/>
    <s v="Annaborough"/>
    <n v="46"/>
    <x v="1"/>
    <s v="Low"/>
    <n v="57.35"/>
    <n v="5"/>
    <s v="West"/>
    <n v="4300"/>
    <n v="550"/>
  </r>
  <r>
    <n v="21"/>
    <n v="7396"/>
    <n v="150"/>
    <s v="Toys"/>
    <n v="2"/>
    <n v="137.79"/>
    <n v="0.04"/>
    <d v="2024-05-13T10:04:09"/>
    <s v="Credit Card"/>
    <s v="Ramirezburgh"/>
    <n v="60"/>
    <x v="2"/>
    <s v="Medium"/>
    <n v="41.08"/>
    <n v="5"/>
    <s v="North"/>
    <n v="6700"/>
    <n v="1300"/>
  </r>
  <r>
    <n v="22"/>
    <n v="9666"/>
    <n v="797"/>
    <s v="Electronics"/>
    <n v="4"/>
    <n v="6.58"/>
    <n v="0.04"/>
    <d v="2024-04-05T20:50:36"/>
    <s v="PayPal"/>
    <s v="Sextonberg"/>
    <n v="54"/>
    <x v="0"/>
    <s v="Medium"/>
    <n v="88.02"/>
    <n v="5"/>
    <s v="South"/>
    <n v="2500"/>
    <n v="150"/>
  </r>
  <r>
    <n v="23"/>
    <n v="3558"/>
    <n v="577"/>
    <s v="Toys"/>
    <n v="3"/>
    <n v="888.2"/>
    <n v="0.04"/>
    <d v="2023-11-17T05:30:14"/>
    <s v="Cash on Delivery"/>
    <s v="Beasleyshire"/>
    <n v="29"/>
    <x v="1"/>
    <s v="Medium"/>
    <n v="67.510000000000005"/>
    <n v="5"/>
    <s v="East"/>
    <n v="5800"/>
    <n v="900"/>
  </r>
  <r>
    <n v="24"/>
    <n v="8849"/>
    <n v="385"/>
    <s v="Toys"/>
    <n v="4"/>
    <n v="109.35"/>
    <n v="0.15"/>
    <d v="2024-08-05T14:07:57"/>
    <s v="Debit Card"/>
    <s v="Lake Brittneyland"/>
    <n v="45"/>
    <x v="0"/>
    <s v="High"/>
    <n v="18.760000000000002"/>
    <n v="5"/>
    <s v="West"/>
    <n v="3900"/>
    <n v="0"/>
  </r>
  <r>
    <n v="25"/>
    <n v="3047"/>
    <n v="419"/>
    <s v="Electronics"/>
    <n v="4"/>
    <n v="144.08000000000001"/>
    <n v="0.28000000000000003"/>
    <d v="2024-02-24T01:14:50"/>
    <s v="Cash on Delivery"/>
    <s v="South John"/>
    <n v="38"/>
    <x v="2"/>
    <s v="High"/>
    <n v="33.4"/>
    <n v="5"/>
    <s v="North"/>
    <n v="8400"/>
    <n v="2500"/>
  </r>
  <r>
    <n v="26"/>
    <n v="3747"/>
    <n v="733"/>
    <s v="Sports"/>
    <n v="4"/>
    <n v="576.59"/>
    <n v="0.2"/>
    <d v="2024-03-04T09:18:55"/>
    <s v="Bank Transfer"/>
    <s v="New Devin"/>
    <n v="52"/>
    <x v="2"/>
    <s v="Low"/>
    <n v="21.91"/>
    <n v="5"/>
    <s v="South"/>
    <n v="4700"/>
    <n v="700"/>
  </r>
  <r>
    <n v="27"/>
    <n v="1189"/>
    <n v="278"/>
    <s v="Electronics"/>
    <n v="3"/>
    <n v="954.41"/>
    <n v="0.11"/>
    <d v="2023-10-26T07:12:09"/>
    <s v="PayPal"/>
    <s v="Lake Denise"/>
    <n v="66"/>
    <x v="2"/>
    <s v="Low"/>
    <n v="81.489999999999995"/>
    <n v="5"/>
    <s v="East"/>
    <n v="3400"/>
    <n v="350"/>
  </r>
  <r>
    <n v="28"/>
    <n v="3734"/>
    <n v="231"/>
    <s v="Home &amp; Kitchen"/>
    <n v="3"/>
    <n v="513.82000000000005"/>
    <n v="0.05"/>
    <d v="2024-08-04T12:39:59"/>
    <s v="Credit Card"/>
    <s v="South Susan"/>
    <n v="34"/>
    <x v="2"/>
    <s v="Low"/>
    <n v="77.27"/>
    <n v="5"/>
    <s v="West"/>
    <n v="6500"/>
    <n v="1250"/>
  </r>
  <r>
    <n v="29"/>
    <n v="4005"/>
    <n v="699"/>
    <s v="Sports"/>
    <n v="1"/>
    <n v="767.89"/>
    <n v="0.11"/>
    <d v="2024-05-06T01:39:20"/>
    <s v="Credit Card"/>
    <s v="Johnsonchester"/>
    <n v="52"/>
    <x v="1"/>
    <s v="High"/>
    <n v="26.78"/>
    <n v="5"/>
    <s v="North"/>
    <n v="5600"/>
    <n v="950"/>
  </r>
  <r>
    <n v="30"/>
    <n v="5658"/>
    <n v="829"/>
    <s v="Beauty"/>
    <n v="4"/>
    <n v="653.79"/>
    <n v="0.01"/>
    <d v="2023-10-23T11:34:13"/>
    <s v="Cash on Delivery"/>
    <s v="Martinberg"/>
    <n v="68"/>
    <x v="0"/>
    <s v="Low"/>
    <n v="39.340000000000003"/>
    <n v="5"/>
    <s v="South"/>
    <n v="2800"/>
    <n v="200"/>
  </r>
  <r>
    <n v="31"/>
    <n v="2899"/>
    <n v="299"/>
    <s v="Home &amp; Kitchen"/>
    <n v="1"/>
    <n v="361.67"/>
    <n v="0.06"/>
    <d v="2024-01-10T02:42:31"/>
    <s v="Credit Card"/>
    <s v="Lake Billy"/>
    <n v="23"/>
    <x v="1"/>
    <s v="Low"/>
    <n v="91.11"/>
    <n v="5"/>
    <s v="East"/>
    <n v="7700"/>
    <n v="1800"/>
  </r>
  <r>
    <n v="32"/>
    <n v="8734"/>
    <n v="706"/>
    <s v="Electronics"/>
    <n v="1"/>
    <n v="327.64"/>
    <n v="0.28000000000000003"/>
    <d v="2024-05-10T18:45:11"/>
    <s v="Credit Card"/>
    <s v="Josephborough"/>
    <n v="44"/>
    <x v="0"/>
    <s v="Medium"/>
    <n v="2.78"/>
    <n v="5"/>
    <s v="West"/>
    <n v="4500"/>
    <n v="600"/>
  </r>
  <r>
    <n v="33"/>
    <n v="2267"/>
    <n v="693"/>
    <s v="Beauty"/>
    <n v="1"/>
    <n v="623.45000000000005"/>
    <n v="0.13"/>
    <d v="2024-06-26T03:10:11"/>
    <s v="PayPal"/>
    <s v="Noahbury"/>
    <n v="67"/>
    <x v="1"/>
    <s v="High"/>
    <n v="65.39"/>
    <n v="5"/>
    <s v="North"/>
    <n v="6100"/>
    <n v="1100"/>
  </r>
  <r>
    <n v="34"/>
    <n v="2528"/>
    <n v="544"/>
    <s v="Electronics"/>
    <n v="3"/>
    <n v="316.88"/>
    <n v="0.16"/>
    <d v="2023-09-16T17:22:21"/>
    <s v="Bank Transfer"/>
    <s v="Bowmanport"/>
    <n v="40"/>
    <x v="2"/>
    <s v="High"/>
    <n v="22.59"/>
    <n v="5"/>
    <s v="South"/>
    <n v="3600"/>
    <n v="500"/>
  </r>
  <r>
    <n v="35"/>
    <n v="4556"/>
    <n v="773"/>
    <s v="Books"/>
    <n v="1"/>
    <n v="560.67999999999995"/>
    <n v="0.22"/>
    <d v="2023-11-18T18:04:26"/>
    <s v="Bank Transfer"/>
    <s v="South Melvinville"/>
    <n v="32"/>
    <x v="0"/>
    <s v="High"/>
    <n v="50.36"/>
    <n v="5"/>
    <s v="East"/>
    <n v="4900"/>
    <n v="750"/>
  </r>
  <r>
    <n v="36"/>
    <n v="4890"/>
    <n v="414"/>
    <s v="Sports"/>
    <n v="3"/>
    <n v="423.86"/>
    <n v="0.26"/>
    <d v="2024-01-14T01:16:35"/>
    <s v="Cash on Delivery"/>
    <s v="East Brittany"/>
    <n v="67"/>
    <x v="2"/>
    <s v="Low"/>
    <n v="16.57"/>
    <n v="5"/>
    <s v="West"/>
    <n v="7000"/>
    <n v="1500"/>
  </r>
  <r>
    <n v="37"/>
    <n v="9838"/>
    <n v="900"/>
    <s v="Beauty"/>
    <n v="1"/>
    <n v="629.44000000000005"/>
    <n v="0.23"/>
    <d v="2023-11-12T01:30:26"/>
    <s v="Debit Card"/>
    <s v="Lake Stephaniefurt"/>
    <n v="42"/>
    <x v="1"/>
    <s v="High"/>
    <n v="97.39"/>
    <n v="5"/>
    <s v="North"/>
    <n v="3200"/>
    <n v="300"/>
  </r>
  <r>
    <n v="38"/>
    <n v="6393"/>
    <n v="907"/>
    <s v="Books"/>
    <n v="1"/>
    <n v="330.09"/>
    <n v="0.21"/>
    <d v="2024-08-17T13:48:43"/>
    <s v="Credit Card"/>
    <s v="North Adam"/>
    <n v="37"/>
    <x v="1"/>
    <s v="High"/>
    <n v="1.59"/>
    <n v="5"/>
    <s v="South"/>
    <n v="5400"/>
    <n v="850"/>
  </r>
  <r>
    <n v="39"/>
    <n v="9792"/>
    <n v="172"/>
    <s v="Electronics"/>
    <n v="4"/>
    <n v="862.67"/>
    <n v="0.01"/>
    <d v="2023-12-19T01:35:37"/>
    <s v="PayPal"/>
    <s v="Sancheztown"/>
    <n v="55"/>
    <x v="0"/>
    <s v="High"/>
    <n v="34.06"/>
    <n v="5"/>
    <s v="East"/>
    <n v="2600"/>
    <n v="120"/>
  </r>
  <r>
    <n v="40"/>
    <n v="9433"/>
    <n v="951"/>
    <s v="Books"/>
    <n v="1"/>
    <n v="511.03"/>
    <n v="0.01"/>
    <d v="2023-11-20T20:28:37"/>
    <s v="Credit Card"/>
    <s v="Burtonmouth"/>
    <n v="40"/>
    <x v="2"/>
    <s v="Low"/>
    <n v="85.58"/>
    <n v="5"/>
    <s v="West"/>
    <n v="5900"/>
    <n v="1000"/>
  </r>
  <r>
    <n v="41"/>
    <n v="8513"/>
    <n v="907"/>
    <s v="Toys"/>
    <n v="2"/>
    <n v="42.59"/>
    <n v="0.06"/>
    <d v="2024-08-26T07:33:38"/>
    <s v="Cash on Delivery"/>
    <s v="Lake Josephmouth"/>
    <n v="68"/>
    <x v="2"/>
    <s v="Low"/>
    <n v="51.92"/>
    <n v="5"/>
    <s v="North"/>
    <n v="7300"/>
    <n v="1700"/>
  </r>
  <r>
    <n v="42"/>
    <n v="3612"/>
    <n v="785"/>
    <s v="Home &amp; Kitchen"/>
    <n v="3"/>
    <n v="143.9"/>
    <n v="0.09"/>
    <d v="2024-05-24T07:56:09"/>
    <s v="Debit Card"/>
    <s v="Clarkeville"/>
    <n v="41"/>
    <x v="1"/>
    <s v="Medium"/>
    <n v="57.88"/>
    <n v="5"/>
    <s v="South"/>
    <n v="4200"/>
    <n v="650"/>
  </r>
  <r>
    <n v="43"/>
    <n v="8041"/>
    <n v="101"/>
    <s v="Clothing"/>
    <n v="3"/>
    <n v="202.28"/>
    <n v="0.11"/>
    <d v="2023-10-12T07:30:30"/>
    <s v="Cash on Delivery"/>
    <s v="Christopherside"/>
    <n v="57"/>
    <x v="2"/>
    <s v="Medium"/>
    <n v="39.869999999999997"/>
    <n v="5"/>
    <s v="East"/>
    <n v="6400"/>
    <n v="1200"/>
  </r>
  <r>
    <n v="44"/>
    <n v="7235"/>
    <n v="718"/>
    <s v="Beauty"/>
    <n v="3"/>
    <n v="108.93"/>
    <n v="0.12"/>
    <d v="2023-11-26T19:53:06"/>
    <s v="Debit Card"/>
    <s v="Deborahton"/>
    <n v="25"/>
    <x v="1"/>
    <s v="Medium"/>
    <n v="13.93"/>
    <n v="5"/>
    <s v="West"/>
    <n v="3100"/>
    <n v="250"/>
  </r>
  <r>
    <n v="45"/>
    <n v="6486"/>
    <n v="778"/>
    <s v="Sports"/>
    <n v="4"/>
    <n v="176.51"/>
    <n v="0.01"/>
    <d v="2024-07-26T23:44:49"/>
    <s v="Debit Card"/>
    <s v="Ewingbury"/>
    <n v="53"/>
    <x v="0"/>
    <s v="Medium"/>
    <n v="46.24"/>
    <n v="5"/>
    <s v="North"/>
    <n v="8800"/>
    <n v="2800"/>
  </r>
  <r>
    <n v="46"/>
    <n v="8099"/>
    <n v="120"/>
    <s v="Sports"/>
    <n v="2"/>
    <n v="309.39"/>
    <n v="0.05"/>
    <d v="2024-05-27T01:53:06"/>
    <s v="Debit Card"/>
    <s v="Michelleborough"/>
    <n v="43"/>
    <x v="1"/>
    <s v="Low"/>
    <n v="68.94"/>
    <n v="5"/>
    <s v="South"/>
    <n v="3800"/>
    <n v="550"/>
  </r>
  <r>
    <n v="47"/>
    <n v="1775"/>
    <n v="561"/>
    <s v="Sports"/>
    <n v="1"/>
    <n v="947.84"/>
    <n v="0.26"/>
    <d v="2023-09-24T06:40:27"/>
    <s v="Cash on Delivery"/>
    <s v="South Cathy"/>
    <n v="32"/>
    <x v="1"/>
    <s v="Low"/>
    <n v="37.53"/>
    <n v="5"/>
    <s v="East"/>
    <n v="5200"/>
    <n v="800"/>
  </r>
  <r>
    <n v="48"/>
    <n v="9226"/>
    <n v="449"/>
    <s v="Toys"/>
    <n v="2"/>
    <n v="984.98"/>
    <n v="0.23"/>
    <d v="2023-09-11T13:03:06"/>
    <s v="Credit Card"/>
    <s v="Garciaburgh"/>
    <n v="58"/>
    <x v="1"/>
    <s v="High"/>
    <n v="0"/>
    <n v="5"/>
    <s v="West"/>
    <n v="4700"/>
    <n v="700"/>
  </r>
  <r>
    <n v="49"/>
    <n v="4152"/>
    <n v="653"/>
    <s v="Sports"/>
    <n v="4"/>
    <n v="157.11000000000001"/>
    <n v="0.03"/>
    <d v="2024-06-08T03:49:08"/>
    <s v="Bank Transfer"/>
    <s v="Berryfort"/>
    <n v="64"/>
    <x v="1"/>
    <s v="Low"/>
    <n v="98.52"/>
    <n v="5"/>
    <s v="North"/>
    <n v="6900"/>
    <n v="140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r>
  <r>
    <x v="1"/>
  </r>
  <r>
    <x v="2"/>
  </r>
  <r>
    <x v="3"/>
  </r>
  <r>
    <x v="4"/>
  </r>
  <r>
    <x v="5"/>
  </r>
  <r>
    <x v="6"/>
  </r>
  <r>
    <x v="7"/>
  </r>
  <r>
    <x v="8"/>
  </r>
  <r>
    <x v="9"/>
  </r>
  <r>
    <x v="10"/>
  </r>
  <r>
    <x v="11"/>
  </r>
  <r>
    <x v="12"/>
  </r>
  <r>
    <x v="13"/>
  </r>
  <r>
    <x v="14"/>
  </r>
  <r>
    <x v="15"/>
  </r>
  <r>
    <x v="16"/>
  </r>
  <r>
    <x v="17"/>
  </r>
  <r>
    <x v="18"/>
  </r>
  <r>
    <x v="1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463124-4665-4A05-B81C-3D50D9D9875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0" firstHeaderRow="1" firstDataRow="1" firstDataCol="0"/>
  <pivotFields count="3">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2106634-0587-492D-A2AF-25D830801833}"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14">
    <pivotField showAll="0"/>
    <pivotField showAll="0"/>
    <pivotField showAll="0"/>
    <pivotField showAll="0">
      <items count="8">
        <item x="1"/>
        <item x="4"/>
        <item x="0"/>
        <item x="3"/>
        <item x="6"/>
        <item x="5"/>
        <item x="2"/>
        <item t="default"/>
      </items>
    </pivotField>
    <pivotField numFmtId="166" showAll="0"/>
    <pivotField dataField="1" numFmtId="164" showAll="0"/>
    <pivotField numFmtId="167" showAll="0"/>
    <pivotField numFmtId="165" showAll="0">
      <items count="50">
        <item x="47"/>
        <item x="33"/>
        <item x="46"/>
        <item x="11"/>
        <item x="42"/>
        <item x="6"/>
        <item x="29"/>
        <item x="26"/>
        <item x="36"/>
        <item x="22"/>
        <item x="34"/>
        <item x="39"/>
        <item x="43"/>
        <item x="13"/>
        <item x="2"/>
        <item x="12"/>
        <item x="9"/>
        <item x="38"/>
        <item x="0"/>
        <item x="3"/>
        <item x="30"/>
        <item x="35"/>
        <item x="24"/>
        <item x="14"/>
        <item x="18"/>
        <item x="25"/>
        <item x="5"/>
        <item x="21"/>
        <item x="1"/>
        <item x="28"/>
        <item x="31"/>
        <item x="20"/>
        <item x="7"/>
        <item x="19"/>
        <item x="41"/>
        <item x="10"/>
        <item x="45"/>
        <item x="48"/>
        <item x="17"/>
        <item x="4"/>
        <item x="32"/>
        <item x="16"/>
        <item x="44"/>
        <item x="27"/>
        <item x="8"/>
        <item x="23"/>
        <item x="15"/>
        <item x="37"/>
        <item x="40"/>
        <item t="default"/>
      </items>
    </pivotField>
    <pivotField axis="axisRow" showAll="0">
      <items count="6">
        <item x="2"/>
        <item x="0"/>
        <item x="3"/>
        <item x="1"/>
        <item x="4"/>
        <item t="default"/>
      </items>
    </pivotField>
    <pivotField showAll="0"/>
    <pivotField showAll="0"/>
    <pivotField showAll="0"/>
    <pivotField axis="axisRow" showAll="0">
      <items count="4">
        <item sd="0" x="1"/>
        <item sd="0" x="2"/>
        <item sd="0" x="0"/>
        <item t="default" sd="0"/>
      </items>
    </pivotField>
    <pivotField numFmtId="2" showAll="0"/>
  </pivotFields>
  <rowFields count="2">
    <field x="12"/>
    <field x="8"/>
  </rowFields>
  <rowItems count="4">
    <i>
      <x/>
    </i>
    <i>
      <x v="1"/>
    </i>
    <i>
      <x v="2"/>
    </i>
    <i t="grand">
      <x/>
    </i>
  </rowItems>
  <colItems count="1">
    <i/>
  </colItems>
  <dataFields count="1">
    <dataField name="Sum of Price" fld="5"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4E3C5DC-7534-4BF2-BA37-C517CDDC1E1D}"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14">
    <pivotField showAll="0"/>
    <pivotField showAll="0"/>
    <pivotField showAll="0"/>
    <pivotField showAll="0"/>
    <pivotField numFmtId="166" showAll="0"/>
    <pivotField dataField="1" numFmtId="164" showAll="0"/>
    <pivotField numFmtId="167" showAll="0"/>
    <pivotField numFmtId="165" showAll="0"/>
    <pivotField axis="axisRow" showAll="0">
      <items count="6">
        <item x="2"/>
        <item x="0"/>
        <item x="3"/>
        <item x="1"/>
        <item x="4"/>
        <item t="default"/>
      </items>
    </pivotField>
    <pivotField showAll="0"/>
    <pivotField showAll="0"/>
    <pivotField showAll="0"/>
    <pivotField showAll="0"/>
    <pivotField numFmtId="2" showAll="0"/>
  </pivotFields>
  <rowFields count="1">
    <field x="8"/>
  </rowFields>
  <rowItems count="6">
    <i>
      <x/>
    </i>
    <i>
      <x v="1"/>
    </i>
    <i>
      <x v="2"/>
    </i>
    <i>
      <x v="3"/>
    </i>
    <i>
      <x v="4"/>
    </i>
    <i t="grand">
      <x/>
    </i>
  </rowItems>
  <colItems count="1">
    <i/>
  </colItems>
  <dataFields count="1">
    <dataField name="Sum of Price" fld="5"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965488F-3586-42DE-9CDD-BAC3EDC1ADAD}" name="PivotTable1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14">
    <pivotField showAll="0"/>
    <pivotField showAll="0"/>
    <pivotField showAll="0"/>
    <pivotField showAll="0"/>
    <pivotField numFmtId="166" showAll="0"/>
    <pivotField numFmtId="164" showAll="0"/>
    <pivotField numFmtId="167" showAll="0"/>
    <pivotField numFmtId="165" showAll="0"/>
    <pivotField showAll="0"/>
    <pivotField showAll="0"/>
    <pivotField showAll="0"/>
    <pivotField axis="axisRow" dataField="1" showAll="0">
      <items count="4">
        <item x="0"/>
        <item x="2"/>
        <item x="1"/>
        <item t="default"/>
      </items>
    </pivotField>
    <pivotField showAll="0"/>
    <pivotField numFmtId="2" showAll="0"/>
  </pivotFields>
  <rowFields count="1">
    <field x="11"/>
  </rowFields>
  <rowItems count="4">
    <i>
      <x/>
    </i>
    <i>
      <x v="1"/>
    </i>
    <i>
      <x v="2"/>
    </i>
    <i t="grand">
      <x/>
    </i>
  </rowItems>
  <colItems count="1">
    <i/>
  </colItems>
  <dataFields count="1">
    <dataField name="Count of CustomerGender"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512991-ABE2-447E-B68D-2F293ABAC752}" name="PivotTable10" cacheId="11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7">
  <location ref="A3:D6" firstHeaderRow="0" firstDataRow="1" firstDataCol="1"/>
  <pivotFields count="18">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70"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dataField="1" compact="0" numFmtId="167" outline="0" showAll="0" defaultSubtotal="0">
      <extLst>
        <ext xmlns:x14="http://schemas.microsoft.com/office/spreadsheetml/2009/9/main" uri="{2946ED86-A175-432a-8AC1-64E0C546D7DE}">
          <x14:pivotField fillDownLabels="1"/>
        </ext>
      </extLst>
    </pivotField>
    <pivotField compact="0" numFmtId="165"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dataField="1" compact="0" outline="0" showAll="0" defaultSubtotal="0">
      <items count="3">
        <item x="1"/>
        <item x="2"/>
        <item x="0"/>
      </items>
      <extLst>
        <ext xmlns:x14="http://schemas.microsoft.com/office/spreadsheetml/2009/9/main" uri="{2946ED86-A175-432a-8AC1-64E0C546D7DE}">
          <x14:pivotField fillDownLabels="1"/>
        </ext>
      </extLst>
    </pivotField>
    <pivotField compact="0" numFmtId="2"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2"/>
  </rowFields>
  <rowItems count="3">
    <i>
      <x/>
    </i>
    <i>
      <x v="1"/>
    </i>
    <i>
      <x v="2"/>
    </i>
  </rowItems>
  <colFields count="1">
    <field x="-2"/>
  </colFields>
  <colItems count="3">
    <i>
      <x/>
    </i>
    <i i="1">
      <x v="1"/>
    </i>
    <i i="2">
      <x v="2"/>
    </i>
  </colItems>
  <dataFields count="3">
    <dataField name="Count of CustomerIncomeGroup" fld="12" subtotal="count" baseField="0" baseItem="0"/>
    <dataField name="Sum of TransactionID" fld="0" baseField="0" baseItem="0"/>
    <dataField name="Sum of Discount" fld="6" baseField="0" baseItem="0" numFmtId="167"/>
  </dataFields>
  <chartFormats count="3">
    <chartFormat chart="5"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2CA836-BDD6-4064-B00D-8F0850F5D310}" name="PivotTable30" cacheId="63"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5">
  <location ref="A3:B6" firstHeaderRow="1" firstDataRow="1" firstDataCol="1"/>
  <pivotFields count="18">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70"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7" outline="0" showAll="0" defaultSubtotal="0">
      <extLst>
        <ext xmlns:x14="http://schemas.microsoft.com/office/spreadsheetml/2009/9/main" uri="{2946ED86-A175-432a-8AC1-64E0C546D7DE}">
          <x14:pivotField fillDownLabels="1"/>
        </ext>
      </extLst>
    </pivotField>
    <pivotField compact="0" numFmtId="165"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3">
        <item x="0"/>
        <item x="2"/>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2"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1"/>
  </rowFields>
  <rowItems count="3">
    <i>
      <x/>
    </i>
    <i>
      <x v="1"/>
    </i>
    <i>
      <x v="2"/>
    </i>
  </rowItems>
  <colItems count="1">
    <i/>
  </colItems>
  <dataFields count="1">
    <dataField name="Count of CustomerLocation" fld="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F6DF79-7AB4-4623-8632-5CF08D80ADFF}" name="PivotTable53"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C18" firstHeaderRow="1" firstDataRow="1" firstDataCol="0"/>
  <pivotFields count="1">
    <pivotField numFmtId="165"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F3756C7-EA63-43AB-98C8-F424B8F56876}" name="PivotTable54" cacheId="1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9" firstHeaderRow="1" firstDataRow="1" firstDataCol="1"/>
  <pivotFields count="18">
    <pivotField showAll="0"/>
    <pivotField showAll="0"/>
    <pivotField showAll="0"/>
    <pivotField axis="axisRow" showAll="0">
      <items count="8">
        <item x="1"/>
        <item x="4"/>
        <item x="0"/>
        <item x="3"/>
        <item x="6"/>
        <item x="5"/>
        <item x="2"/>
        <item t="default"/>
      </items>
    </pivotField>
    <pivotField numFmtId="170" showAll="0">
      <items count="5">
        <item h="1" x="0"/>
        <item x="1"/>
        <item h="1" x="2"/>
        <item h="1" x="3"/>
        <item t="default"/>
      </items>
    </pivotField>
    <pivotField numFmtId="164" showAll="0"/>
    <pivotField dataField="1" numFmtId="167" showAll="0"/>
    <pivotField numFmtId="165" showAll="0"/>
    <pivotField showAll="0"/>
    <pivotField showAll="0"/>
    <pivotField showAll="0"/>
    <pivotField showAll="0"/>
    <pivotField showAll="0"/>
    <pivotField numFmtId="2" showAll="0"/>
    <pivotField showAll="0"/>
    <pivotField showAll="0"/>
    <pivotField showAll="0"/>
    <pivotField showAll="0"/>
  </pivotFields>
  <rowFields count="1">
    <field x="3"/>
  </rowFields>
  <rowItems count="6">
    <i>
      <x/>
    </i>
    <i>
      <x v="2"/>
    </i>
    <i>
      <x v="3"/>
    </i>
    <i>
      <x v="5"/>
    </i>
    <i>
      <x v="6"/>
    </i>
    <i t="grand">
      <x/>
    </i>
  </rowItems>
  <colItems count="1">
    <i/>
  </colItems>
  <dataFields count="1">
    <dataField name="Sum of Discount" fld="6" baseField="0" baseItem="0" numFmtId="167"/>
  </dataFields>
  <chartFormats count="2">
    <chartFormat chart="3" format="5"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1136FD3-BA91-440C-A226-2C97A8B7099D}" name="PivotTable1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A62:AB66" firstHeaderRow="1" firstDataRow="1" firstDataCol="1"/>
  <pivotFields count="14">
    <pivotField showAll="0"/>
    <pivotField showAll="0"/>
    <pivotField showAll="0"/>
    <pivotField showAll="0"/>
    <pivotField numFmtId="166" showAll="0"/>
    <pivotField numFmtId="164" showAll="0"/>
    <pivotField numFmtId="167" showAll="0"/>
    <pivotField numFmtId="165" showAll="0"/>
    <pivotField showAll="0"/>
    <pivotField showAll="0"/>
    <pivotField showAll="0"/>
    <pivotField axis="axisRow" dataField="1" showAll="0">
      <items count="4">
        <item x="0"/>
        <item x="2"/>
        <item x="1"/>
        <item t="default"/>
      </items>
    </pivotField>
    <pivotField showAll="0"/>
    <pivotField numFmtId="2" showAll="0"/>
  </pivotFields>
  <rowFields count="1">
    <field x="11"/>
  </rowFields>
  <rowItems count="4">
    <i>
      <x/>
    </i>
    <i>
      <x v="1"/>
    </i>
    <i>
      <x v="2"/>
    </i>
    <i t="grand">
      <x/>
    </i>
  </rowItems>
  <colItems count="1">
    <i/>
  </colItems>
  <dataFields count="1">
    <dataField name="Count of CustomerGender"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7C8980A-BCCC-49E5-B61F-949E5183DEF2}"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A54:AB60" firstHeaderRow="1" firstDataRow="1" firstDataCol="1"/>
  <pivotFields count="14">
    <pivotField showAll="0"/>
    <pivotField showAll="0"/>
    <pivotField showAll="0"/>
    <pivotField showAll="0"/>
    <pivotField numFmtId="166" showAll="0"/>
    <pivotField dataField="1" numFmtId="164" showAll="0"/>
    <pivotField numFmtId="167" showAll="0"/>
    <pivotField numFmtId="165" showAll="0"/>
    <pivotField axis="axisRow" showAll="0">
      <items count="6">
        <item x="2"/>
        <item x="0"/>
        <item x="3"/>
        <item x="1"/>
        <item x="4"/>
        <item t="default"/>
      </items>
    </pivotField>
    <pivotField showAll="0"/>
    <pivotField showAll="0"/>
    <pivotField showAll="0"/>
    <pivotField showAll="0"/>
    <pivotField numFmtId="2" showAll="0"/>
  </pivotFields>
  <rowFields count="1">
    <field x="8"/>
  </rowFields>
  <rowItems count="6">
    <i>
      <x/>
    </i>
    <i>
      <x v="1"/>
    </i>
    <i>
      <x v="2"/>
    </i>
    <i>
      <x v="3"/>
    </i>
    <i>
      <x v="4"/>
    </i>
    <i t="grand">
      <x/>
    </i>
  </rowItems>
  <colItems count="1">
    <i/>
  </colItems>
  <dataFields count="1">
    <dataField name="Sum of Price" fld="5"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9C63D684-49EE-4243-98F8-C78C27C59404}" sourceName="ProductCategory">
  <pivotTables>
    <pivotTable tabId="12" name="PivotTable54"/>
  </pivotTables>
  <data>
    <tabular pivotCacheId="1501637475">
      <items count="7">
        <i x="1" s="1"/>
        <i x="0" s="1"/>
        <i x="3" s="1"/>
        <i x="5" s="1"/>
        <i x="2" s="1"/>
        <i x="4" s="1" nd="1"/>
        <i x="6"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ntity" xr10:uid="{F47341E9-2313-465A-B758-273D053BD8FB}" sourceName="Quantity">
  <pivotTables>
    <pivotTable tabId="12" name="PivotTable54"/>
  </pivotTables>
  <data>
    <tabular pivotCacheId="1501637475">
      <items count="4">
        <i x="0"/>
        <i x="1" s="1"/>
        <i x="2"/>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Category" xr10:uid="{43964EEB-D11E-4B77-963D-35822719874A}" cache="Slicer_ProductCategory" caption="ProductCategory" rowHeight="241300"/>
  <slicer name="Quantity" xr10:uid="{F927F85D-334F-488F-B674-06B06202CC5D}" cache="Slicer_Quantity" caption="Quantit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72C04C-EA70-481B-AF19-F59B12CC0349}" name="Table1" displayName="Table1" ref="J11:L18" totalsRowShown="0" headerRowDxfId="37">
  <autoFilter ref="J11:L18" xr:uid="{1472C04C-EA70-481B-AF19-F59B12CC0349}"/>
  <tableColumns count="3">
    <tableColumn id="1" xr3:uid="{454D6866-C375-44F7-9DBE-A9F66E2EE154}" name="ProductId"/>
    <tableColumn id="2" xr3:uid="{72E53A66-50CF-4747-92A7-33747E9FCE50}" name="ProductName" dataDxfId="36"/>
    <tableColumn id="3" xr3:uid="{53A4DCEA-8AF1-476A-870A-E67EE763B8E1}" name="price"/>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41B40B5-FD34-4D02-8C24-D239CB7F3BDB}" name="Table2" displayName="Table2" ref="H1:M4" totalsRowShown="0" headerRowDxfId="35" dataDxfId="34">
  <autoFilter ref="H1:M4" xr:uid="{E41B40B5-FD34-4D02-8C24-D239CB7F3BDB}"/>
  <tableColumns count="6">
    <tableColumn id="1" xr3:uid="{AD55C4A3-C2C9-4E76-9F94-BC8A9C3C6F59}" name="Product" dataDxfId="33"/>
    <tableColumn id="2" xr3:uid="{2E7B0FE2-C8D9-48FA-A399-C5574007CD92}" name="A" dataDxfId="32"/>
    <tableColumn id="3" xr3:uid="{FC2284A9-90B6-4051-A8E8-D55B28953163}" name="B" dataDxfId="31"/>
    <tableColumn id="4" xr3:uid="{0DADCA54-BDA4-43AC-8390-50DD33B3C87F}" name="C" dataDxfId="30"/>
    <tableColumn id="5" xr3:uid="{6A46F2A6-D66C-4A80-A65C-48DDEA6E05F7}" name="D" dataDxfId="29"/>
    <tableColumn id="6" xr3:uid="{AF5B252E-7672-43F0-ACF6-ADD2AC5B726C}" name="Hlookup"/>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D87927-5DEF-403D-852F-E5C4674ACCB8}" name="Table3" displayName="Table3" ref="P1:AB21" totalsRowShown="0" headerRowDxfId="28" dataDxfId="27">
  <autoFilter ref="P1:AB21" xr:uid="{AFD87927-5DEF-403D-852F-E5C4674ACCB8}"/>
  <tableColumns count="13">
    <tableColumn id="1" xr3:uid="{918E29F9-D354-4FCD-94E2-A63EF3FF119A}" name="Emp ID" dataDxfId="26"/>
    <tableColumn id="2" xr3:uid="{61640B60-4EE3-429E-86DC-ED1802A3D925}" name="Name" dataDxfId="25"/>
    <tableColumn id="3" xr3:uid="{7A0E1E1C-BE99-4532-9A39-1BAF39E6C8B3}" name="Department" dataDxfId="24"/>
    <tableColumn id="4" xr3:uid="{D0286011-7D07-4F02-A951-B2F5A4F09E56}" name="City" dataDxfId="23"/>
    <tableColumn id="5" xr3:uid="{FF141826-90F9-4B4E-BE8B-E823DBE0E608}" name="Experience" dataDxfId="22"/>
    <tableColumn id="6" xr3:uid="{CD2CF6DA-DDAC-4E21-B006-72DCDEC57188}" name="Salary" dataDxfId="21"/>
    <tableColumn id="7" xr3:uid="{015B9C35-80DD-471A-A960-6B740B1F5779}" name="increment(AND)" dataDxfId="20">
      <calculatedColumnFormula>AND(Table3[[#This Row],[Experience]]&gt;4,Table3[[#This Row],[Salary]]&gt;40000)</calculatedColumnFormula>
    </tableColumn>
    <tableColumn id="9" xr3:uid="{76C49286-FA01-4E62-8621-15C159687147}" name="salaryy" dataDxfId="19">
      <calculatedColumnFormula>IF(Table3[[#This Row],[Salary]]&gt;50000,"high","low")</calculatedColumnFormula>
    </tableColumn>
    <tableColumn id="12" xr3:uid="{473A6B1F-6723-437D-9554-5A7E29097B31}" name="bonus" dataDxfId="18">
      <calculatedColumnFormula>OR(Table3[[#This Row],[Salary]]&lt;50000,Table3[[#This Row],[Experience]]&lt;3)</calculatedColumnFormula>
    </tableColumn>
    <tableColumn id="13" xr3:uid="{0CBAFF08-F6CC-4527-AAFE-7D5CDAA04B29}" name="not" dataDxfId="17">
      <calculatedColumnFormula>NOT(Table3[[#This Row],[bonus]])</calculatedColumnFormula>
    </tableColumn>
    <tableColumn id="14" xr3:uid="{64E8305D-E7B7-4F3F-AA9E-CF1FBFD5D0CF}" name="x-or" dataDxfId="16">
      <calculatedColumnFormula>_xlfn.XOR(Table3[[#This Row],[Salary]]&gt;=30000,Table3[[#This Row],[Experience]]&gt;=5)</calculatedColumnFormula>
    </tableColumn>
    <tableColumn id="15" xr3:uid="{6302E394-0141-464B-BF95-770A60531936}" name="if+xor" dataDxfId="15">
      <calculatedColumnFormula>IF(_xlfn.XOR(Table3[[#This Row],[Salary]]&gt;=30000,Table3[[#This Row],[Experience]]&gt;=5),"Reward","no Reward")</calculatedColumnFormula>
    </tableColumn>
    <tableColumn id="16" xr3:uid="{C80B7DE3-0BA7-4A80-9F2E-5DB231F0436E}" name="ColumSn1" dataDxfId="1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3D12B05-0393-41FB-AC24-CB98AF9B4248}" name="Table4" displayName="Table4" ref="AC53:AF70" totalsRowShown="0">
  <autoFilter ref="AC53:AF70" xr:uid="{33D12B05-0393-41FB-AC24-CB98AF9B4248}"/>
  <tableColumns count="4">
    <tableColumn id="1" xr3:uid="{29799441-4A43-427F-8240-5CABB1997006}" name="Column1"/>
    <tableColumn id="2" xr3:uid="{AC9714B7-755B-4CE5-9E5D-9573D2C4635D}" name="Column2"/>
    <tableColumn id="3" xr3:uid="{F1C537DD-561E-4512-83AF-C81BC7AA2908}" name="Column3" dataDxfId="13"/>
    <tableColumn id="4" xr3:uid="{9AA83F2C-B03E-4217-A883-C8C7E2390D73}" name="Column4" dataDxfId="12"/>
  </tableColumns>
  <tableStyleInfo name="TableStyleLight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80D99A-206C-4F62-AF3D-5D6D9C5AECCC}" name="Table5" displayName="Table5" ref="AA47:AB49" totalsRowShown="0">
  <autoFilter ref="AA47:AB49" xr:uid="{E980D99A-206C-4F62-AF3D-5D6D9C5AECCC}"/>
  <tableColumns count="2">
    <tableColumn id="1" xr3:uid="{D27C94B9-E020-49F4-84D6-DA07E84049A8}" name="thousand separator" dataDxfId="11"/>
    <tableColumn id="2" xr3:uid="{2B92DF6B-C9EC-4141-A091-84F8B695F797}" name="1,23,456.00"/>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pivotTable" Target="../pivotTables/pivotTable8.xml"/><Relationship Id="rId4" Type="http://schemas.microsoft.com/office/2007/relationships/slicer" Target="../slicers/slicer1.xml"/></Relationships>
</file>

<file path=xl/worksheets/_rels/sheet9.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drawing" Target="../drawings/drawing3.xml"/><Relationship Id="rId7" Type="http://schemas.openxmlformats.org/officeDocument/2006/relationships/table" Target="../tables/table4.xml"/><Relationship Id="rId2" Type="http://schemas.openxmlformats.org/officeDocument/2006/relationships/pivotTable" Target="../pivotTables/pivotTable10.xml"/><Relationship Id="rId1" Type="http://schemas.openxmlformats.org/officeDocument/2006/relationships/pivotTable" Target="../pivotTables/pivotTable9.xml"/><Relationship Id="rId6" Type="http://schemas.openxmlformats.org/officeDocument/2006/relationships/table" Target="../tables/table3.xml"/><Relationship Id="rId5" Type="http://schemas.openxmlformats.org/officeDocument/2006/relationships/table" Target="../tables/table2.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34D3F-8FF6-46D1-A23D-0A0C773B1DF6}">
  <dimension ref="A3:C20"/>
  <sheetViews>
    <sheetView workbookViewId="0">
      <selection activeCell="A3" sqref="A3"/>
    </sheetView>
  </sheetViews>
  <sheetFormatPr defaultRowHeight="15" x14ac:dyDescent="0.25"/>
  <sheetData>
    <row r="3" spans="1:3" x14ac:dyDescent="0.25">
      <c r="A3" s="2"/>
      <c r="B3" s="3"/>
      <c r="C3" s="4"/>
    </row>
    <row r="4" spans="1:3" x14ac:dyDescent="0.25">
      <c r="A4" s="5"/>
      <c r="B4" s="6"/>
      <c r="C4" s="7"/>
    </row>
    <row r="5" spans="1:3" x14ac:dyDescent="0.25">
      <c r="A5" s="5"/>
      <c r="B5" s="6"/>
      <c r="C5" s="7"/>
    </row>
    <row r="6" spans="1:3" x14ac:dyDescent="0.25">
      <c r="A6" s="5"/>
      <c r="B6" s="6"/>
      <c r="C6" s="7"/>
    </row>
    <row r="7" spans="1:3" x14ac:dyDescent="0.25">
      <c r="A7" s="5"/>
      <c r="B7" s="6"/>
      <c r="C7" s="7"/>
    </row>
    <row r="8" spans="1:3" x14ac:dyDescent="0.25">
      <c r="A8" s="5"/>
      <c r="B8" s="6"/>
      <c r="C8" s="7"/>
    </row>
    <row r="9" spans="1:3" x14ac:dyDescent="0.25">
      <c r="A9" s="5"/>
      <c r="B9" s="6"/>
      <c r="C9" s="7"/>
    </row>
    <row r="10" spans="1:3" x14ac:dyDescent="0.25">
      <c r="A10" s="5"/>
      <c r="B10" s="6"/>
      <c r="C10" s="7"/>
    </row>
    <row r="11" spans="1:3" x14ac:dyDescent="0.25">
      <c r="A11" s="5"/>
      <c r="B11" s="6"/>
      <c r="C11" s="7"/>
    </row>
    <row r="12" spans="1:3" x14ac:dyDescent="0.25">
      <c r="A12" s="5"/>
      <c r="B12" s="6"/>
      <c r="C12" s="7"/>
    </row>
    <row r="13" spans="1:3" x14ac:dyDescent="0.25">
      <c r="A13" s="5"/>
      <c r="B13" s="6"/>
      <c r="C13" s="7"/>
    </row>
    <row r="14" spans="1:3" x14ac:dyDescent="0.25">
      <c r="A14" s="5"/>
      <c r="B14" s="6"/>
      <c r="C14" s="7"/>
    </row>
    <row r="15" spans="1:3" x14ac:dyDescent="0.25">
      <c r="A15" s="5"/>
      <c r="B15" s="6"/>
      <c r="C15" s="7"/>
    </row>
    <row r="16" spans="1:3" x14ac:dyDescent="0.25">
      <c r="A16" s="5"/>
      <c r="B16" s="6"/>
      <c r="C16" s="7"/>
    </row>
    <row r="17" spans="1:3" x14ac:dyDescent="0.25">
      <c r="A17" s="5"/>
      <c r="B17" s="6"/>
      <c r="C17" s="7"/>
    </row>
    <row r="18" spans="1:3" x14ac:dyDescent="0.25">
      <c r="A18" s="5"/>
      <c r="B18" s="6"/>
      <c r="C18" s="7"/>
    </row>
    <row r="19" spans="1:3" x14ac:dyDescent="0.25">
      <c r="A19" s="5"/>
      <c r="B19" s="6"/>
      <c r="C19" s="7"/>
    </row>
    <row r="20" spans="1:3" x14ac:dyDescent="0.25">
      <c r="A20" s="8"/>
      <c r="B20" s="9"/>
      <c r="C20" s="1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FC6C1-0C34-4DD5-B78C-47BBCB6FA16F}">
  <dimension ref="A3:B7"/>
  <sheetViews>
    <sheetView workbookViewId="0">
      <selection activeCell="A3" sqref="A3"/>
    </sheetView>
  </sheetViews>
  <sheetFormatPr defaultRowHeight="15" x14ac:dyDescent="0.25"/>
  <cols>
    <col min="1" max="1" width="13.140625" bestFit="1" customWidth="1"/>
    <col min="2" max="3" width="12" bestFit="1" customWidth="1"/>
  </cols>
  <sheetData>
    <row r="3" spans="1:2" x14ac:dyDescent="0.25">
      <c r="A3" s="32" t="s">
        <v>184</v>
      </c>
      <c r="B3" t="s">
        <v>185</v>
      </c>
    </row>
    <row r="4" spans="1:2" x14ac:dyDescent="0.25">
      <c r="A4" s="33" t="s">
        <v>126</v>
      </c>
      <c r="B4" s="14">
        <v>7466.7200000000012</v>
      </c>
    </row>
    <row r="5" spans="1:2" x14ac:dyDescent="0.25">
      <c r="A5" s="33" t="s">
        <v>131</v>
      </c>
      <c r="B5" s="14">
        <v>10218.550000000001</v>
      </c>
    </row>
    <row r="6" spans="1:2" x14ac:dyDescent="0.25">
      <c r="A6" s="33" t="s">
        <v>121</v>
      </c>
      <c r="B6" s="14">
        <v>3451.24</v>
      </c>
    </row>
    <row r="7" spans="1:2" x14ac:dyDescent="0.25">
      <c r="A7" s="33" t="s">
        <v>186</v>
      </c>
      <c r="B7" s="14">
        <v>21136.510000000002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663133-0861-44AA-9A02-8FE2C314167D}">
  <dimension ref="A3:B9"/>
  <sheetViews>
    <sheetView workbookViewId="0">
      <selection activeCell="C37" sqref="C37"/>
    </sheetView>
  </sheetViews>
  <sheetFormatPr defaultRowHeight="15" x14ac:dyDescent="0.25"/>
  <cols>
    <col min="1" max="1" width="15.85546875" bestFit="1" customWidth="1"/>
    <col min="2" max="2" width="12" bestFit="1" customWidth="1"/>
  </cols>
  <sheetData>
    <row r="3" spans="1:2" x14ac:dyDescent="0.25">
      <c r="A3" s="32" t="s">
        <v>184</v>
      </c>
      <c r="B3" t="s">
        <v>185</v>
      </c>
    </row>
    <row r="4" spans="1:2" x14ac:dyDescent="0.25">
      <c r="A4" s="33" t="s">
        <v>129</v>
      </c>
      <c r="B4" s="14">
        <v>2969.58</v>
      </c>
    </row>
    <row r="5" spans="1:2" x14ac:dyDescent="0.25">
      <c r="A5" s="33" t="s">
        <v>118</v>
      </c>
      <c r="B5" s="14">
        <v>6456.49</v>
      </c>
    </row>
    <row r="6" spans="1:2" x14ac:dyDescent="0.25">
      <c r="A6" s="33" t="s">
        <v>137</v>
      </c>
      <c r="B6" s="14">
        <v>4975.42</v>
      </c>
    </row>
    <row r="7" spans="1:2" x14ac:dyDescent="0.25">
      <c r="A7" s="33" t="s">
        <v>123</v>
      </c>
      <c r="B7" s="14">
        <v>3848.8399999999997</v>
      </c>
    </row>
    <row r="8" spans="1:2" x14ac:dyDescent="0.25">
      <c r="A8" s="33" t="s">
        <v>151</v>
      </c>
      <c r="B8" s="14">
        <v>2886.18</v>
      </c>
    </row>
    <row r="9" spans="1:2" x14ac:dyDescent="0.25">
      <c r="A9" s="33" t="s">
        <v>186</v>
      </c>
      <c r="B9" s="14">
        <v>21136.51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7946-D50E-4325-A504-03B50EB54E01}">
  <dimension ref="A3:B7"/>
  <sheetViews>
    <sheetView workbookViewId="0">
      <selection activeCell="F32" sqref="F32"/>
    </sheetView>
  </sheetViews>
  <sheetFormatPr defaultRowHeight="15" x14ac:dyDescent="0.25"/>
  <cols>
    <col min="1" max="1" width="13.140625" bestFit="1" customWidth="1"/>
    <col min="2" max="2" width="24.7109375" bestFit="1" customWidth="1"/>
  </cols>
  <sheetData>
    <row r="3" spans="1:2" x14ac:dyDescent="0.25">
      <c r="A3" s="32" t="s">
        <v>184</v>
      </c>
      <c r="B3" t="s">
        <v>187</v>
      </c>
    </row>
    <row r="4" spans="1:2" x14ac:dyDescent="0.25">
      <c r="A4" s="33" t="s">
        <v>120</v>
      </c>
      <c r="B4">
        <v>13</v>
      </c>
    </row>
    <row r="5" spans="1:2" x14ac:dyDescent="0.25">
      <c r="A5" s="33" t="s">
        <v>136</v>
      </c>
      <c r="B5">
        <v>14</v>
      </c>
    </row>
    <row r="6" spans="1:2" x14ac:dyDescent="0.25">
      <c r="A6" s="33" t="s">
        <v>125</v>
      </c>
      <c r="B6">
        <v>22</v>
      </c>
    </row>
    <row r="7" spans="1:2" x14ac:dyDescent="0.25">
      <c r="A7" s="33" t="s">
        <v>186</v>
      </c>
      <c r="B7">
        <v>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274F2-FB9E-46AE-9A6F-95F9077DB4AA}">
  <dimension ref="A3:D6"/>
  <sheetViews>
    <sheetView zoomScale="130" zoomScaleNormal="130" workbookViewId="0">
      <selection activeCell="H3" sqref="H3"/>
    </sheetView>
  </sheetViews>
  <sheetFormatPr defaultRowHeight="15" x14ac:dyDescent="0.25"/>
  <cols>
    <col min="1" max="1" width="24.42578125" bestFit="1" customWidth="1"/>
    <col min="2" max="2" width="30.42578125" bestFit="1" customWidth="1"/>
    <col min="3" max="3" width="19.85546875" bestFit="1" customWidth="1"/>
    <col min="4" max="4" width="15.42578125" bestFit="1" customWidth="1"/>
  </cols>
  <sheetData>
    <row r="3" spans="1:4" x14ac:dyDescent="0.25">
      <c r="A3" s="32" t="s">
        <v>115</v>
      </c>
      <c r="B3" t="s">
        <v>206</v>
      </c>
      <c r="C3" t="s">
        <v>208</v>
      </c>
      <c r="D3" t="s">
        <v>209</v>
      </c>
    </row>
    <row r="4" spans="1:4" x14ac:dyDescent="0.25">
      <c r="A4" t="s">
        <v>126</v>
      </c>
      <c r="B4" s="65">
        <v>17</v>
      </c>
      <c r="C4" s="65">
        <v>393</v>
      </c>
      <c r="D4" s="40">
        <v>2.95</v>
      </c>
    </row>
    <row r="5" spans="1:4" x14ac:dyDescent="0.25">
      <c r="A5" t="s">
        <v>131</v>
      </c>
      <c r="B5" s="65">
        <v>21</v>
      </c>
      <c r="C5" s="65">
        <v>524</v>
      </c>
      <c r="D5" s="40">
        <v>2.6299999999999994</v>
      </c>
    </row>
    <row r="6" spans="1:4" x14ac:dyDescent="0.25">
      <c r="A6" t="s">
        <v>121</v>
      </c>
      <c r="B6" s="65">
        <v>11</v>
      </c>
      <c r="C6" s="65">
        <v>308</v>
      </c>
      <c r="D6" s="40">
        <v>1.3100000000000003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93F9B-7968-416C-AE27-7AB2B86A13D6}">
  <dimension ref="A3:B6"/>
  <sheetViews>
    <sheetView zoomScale="130" zoomScaleNormal="130" workbookViewId="0">
      <selection activeCell="Q26" sqref="Q26:R26"/>
    </sheetView>
  </sheetViews>
  <sheetFormatPr defaultRowHeight="15" x14ac:dyDescent="0.25"/>
  <cols>
    <col min="1" max="1" width="18.7109375" bestFit="1" customWidth="1"/>
    <col min="2" max="2" width="25.5703125" bestFit="1" customWidth="1"/>
  </cols>
  <sheetData>
    <row r="3" spans="1:2" x14ac:dyDescent="0.25">
      <c r="A3" s="32" t="s">
        <v>114</v>
      </c>
      <c r="B3" t="s">
        <v>207</v>
      </c>
    </row>
    <row r="4" spans="1:2" x14ac:dyDescent="0.25">
      <c r="A4" t="s">
        <v>120</v>
      </c>
      <c r="B4" s="65">
        <v>13</v>
      </c>
    </row>
    <row r="5" spans="1:2" x14ac:dyDescent="0.25">
      <c r="A5" t="s">
        <v>136</v>
      </c>
      <c r="B5" s="65">
        <v>14</v>
      </c>
    </row>
    <row r="6" spans="1:2" x14ac:dyDescent="0.25">
      <c r="A6" t="s">
        <v>125</v>
      </c>
      <c r="B6" s="65">
        <v>22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B48E2-1CF6-489A-B070-0F91FFE2BAC9}">
  <dimension ref="A1:C18"/>
  <sheetViews>
    <sheetView workbookViewId="0"/>
  </sheetViews>
  <sheetFormatPr defaultRowHeight="15" x14ac:dyDescent="0.25"/>
  <sheetData>
    <row r="1" spans="1:3" x14ac:dyDescent="0.25">
      <c r="A1" s="57"/>
      <c r="B1" s="58"/>
      <c r="C1" s="59"/>
    </row>
    <row r="2" spans="1:3" x14ac:dyDescent="0.25">
      <c r="A2" s="60"/>
      <c r="B2" s="6"/>
      <c r="C2" s="61"/>
    </row>
    <row r="3" spans="1:3" x14ac:dyDescent="0.25">
      <c r="A3" s="60"/>
      <c r="B3" s="6"/>
      <c r="C3" s="61"/>
    </row>
    <row r="4" spans="1:3" x14ac:dyDescent="0.25">
      <c r="A4" s="60"/>
      <c r="B4" s="6"/>
      <c r="C4" s="61"/>
    </row>
    <row r="5" spans="1:3" x14ac:dyDescent="0.25">
      <c r="A5" s="60"/>
      <c r="B5" s="6"/>
      <c r="C5" s="61"/>
    </row>
    <row r="6" spans="1:3" x14ac:dyDescent="0.25">
      <c r="A6" s="60"/>
      <c r="B6" s="6"/>
      <c r="C6" s="61"/>
    </row>
    <row r="7" spans="1:3" x14ac:dyDescent="0.25">
      <c r="A7" s="60"/>
      <c r="B7" s="6"/>
      <c r="C7" s="61"/>
    </row>
    <row r="8" spans="1:3" x14ac:dyDescent="0.25">
      <c r="A8" s="60"/>
      <c r="B8" s="6"/>
      <c r="C8" s="61"/>
    </row>
    <row r="9" spans="1:3" x14ac:dyDescent="0.25">
      <c r="A9" s="60"/>
      <c r="B9" s="6"/>
      <c r="C9" s="61"/>
    </row>
    <row r="10" spans="1:3" x14ac:dyDescent="0.25">
      <c r="A10" s="60"/>
      <c r="B10" s="6"/>
      <c r="C10" s="61"/>
    </row>
    <row r="11" spans="1:3" x14ac:dyDescent="0.25">
      <c r="A11" s="60"/>
      <c r="B11" s="6"/>
      <c r="C11" s="61"/>
    </row>
    <row r="12" spans="1:3" x14ac:dyDescent="0.25">
      <c r="A12" s="60"/>
      <c r="B12" s="6"/>
      <c r="C12" s="61"/>
    </row>
    <row r="13" spans="1:3" x14ac:dyDescent="0.25">
      <c r="A13" s="60"/>
      <c r="B13" s="6"/>
      <c r="C13" s="61"/>
    </row>
    <row r="14" spans="1:3" x14ac:dyDescent="0.25">
      <c r="A14" s="60"/>
      <c r="B14" s="6"/>
      <c r="C14" s="61"/>
    </row>
    <row r="15" spans="1:3" x14ac:dyDescent="0.25">
      <c r="A15" s="60"/>
      <c r="B15" s="6"/>
      <c r="C15" s="61"/>
    </row>
    <row r="16" spans="1:3" x14ac:dyDescent="0.25">
      <c r="A16" s="60"/>
      <c r="B16" s="6"/>
      <c r="C16" s="61"/>
    </row>
    <row r="17" spans="1:3" x14ac:dyDescent="0.25">
      <c r="A17" s="60"/>
      <c r="B17" s="6"/>
      <c r="C17" s="61"/>
    </row>
    <row r="18" spans="1:3" x14ac:dyDescent="0.25">
      <c r="A18" s="62"/>
      <c r="B18" s="63"/>
      <c r="C18" s="64"/>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85249-E81E-4377-9119-86516CA26916}">
  <dimension ref="A3:B9"/>
  <sheetViews>
    <sheetView tabSelected="1" zoomScale="145" zoomScaleNormal="145" workbookViewId="0">
      <selection activeCell="H6" sqref="H6:H8"/>
    </sheetView>
  </sheetViews>
  <sheetFormatPr defaultRowHeight="15" x14ac:dyDescent="0.25"/>
  <cols>
    <col min="1" max="1" width="13.140625" bestFit="1" customWidth="1"/>
    <col min="2" max="3" width="15.42578125" bestFit="1" customWidth="1"/>
  </cols>
  <sheetData>
    <row r="3" spans="1:2" x14ac:dyDescent="0.25">
      <c r="A3" s="32" t="s">
        <v>184</v>
      </c>
      <c r="B3" t="s">
        <v>209</v>
      </c>
    </row>
    <row r="4" spans="1:2" x14ac:dyDescent="0.25">
      <c r="A4" s="33" t="s">
        <v>122</v>
      </c>
      <c r="B4" s="40">
        <v>0.01</v>
      </c>
    </row>
    <row r="5" spans="1:2" x14ac:dyDescent="0.25">
      <c r="A5" s="33" t="s">
        <v>117</v>
      </c>
      <c r="B5" s="40">
        <v>0.26</v>
      </c>
    </row>
    <row r="6" spans="1:2" x14ac:dyDescent="0.25">
      <c r="A6" s="33" t="s">
        <v>132</v>
      </c>
      <c r="B6" s="40">
        <v>0.14000000000000001</v>
      </c>
    </row>
    <row r="7" spans="1:2" x14ac:dyDescent="0.25">
      <c r="A7" s="33" t="s">
        <v>139</v>
      </c>
      <c r="B7" s="40">
        <v>0.05</v>
      </c>
    </row>
    <row r="8" spans="1:2" x14ac:dyDescent="0.25">
      <c r="A8" s="33" t="s">
        <v>127</v>
      </c>
      <c r="B8" s="40">
        <v>0.79</v>
      </c>
    </row>
    <row r="9" spans="1:2" x14ac:dyDescent="0.25">
      <c r="A9" s="33" t="s">
        <v>186</v>
      </c>
      <c r="B9" s="40">
        <v>1.25</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D4806-D66D-452D-9586-F92A7DA9252D}">
  <dimension ref="A1:AF155"/>
  <sheetViews>
    <sheetView topLeftCell="A49" zoomScale="85" zoomScaleNormal="85" workbookViewId="0">
      <selection activeCell="A49" sqref="A49:R98"/>
    </sheetView>
  </sheetViews>
  <sheetFormatPr defaultRowHeight="15" x14ac:dyDescent="0.25"/>
  <cols>
    <col min="1" max="1" width="14.140625" customWidth="1"/>
    <col min="2" max="3" width="12.28515625" customWidth="1"/>
    <col min="4" max="4" width="20.28515625" customWidth="1"/>
    <col min="5" max="5" width="18.28515625" style="42" customWidth="1"/>
    <col min="6" max="6" width="12.140625" style="34" customWidth="1"/>
    <col min="7" max="7" width="12" style="22" bestFit="1" customWidth="1"/>
    <col min="8" max="8" width="24.5703125" style="18" customWidth="1"/>
    <col min="9" max="9" width="22.42578125" customWidth="1"/>
    <col min="10" max="10" width="24.85546875" customWidth="1"/>
    <col min="11" max="11" width="23.5703125" customWidth="1"/>
    <col min="12" max="12" width="27.140625" customWidth="1"/>
    <col min="13" max="13" width="32.5703125" customWidth="1"/>
    <col min="14" max="14" width="25.140625" style="15" customWidth="1"/>
    <col min="15" max="15" width="17.42578125" customWidth="1"/>
    <col min="16" max="16" width="18" customWidth="1"/>
    <col min="17" max="17" width="24.140625" customWidth="1"/>
    <col min="18" max="18" width="21.140625" customWidth="1"/>
    <col min="19" max="19" width="16.85546875" customWidth="1"/>
    <col min="20" max="20" width="19.140625" customWidth="1"/>
    <col min="21" max="21" width="11" customWidth="1"/>
    <col min="22" max="22" width="15.7109375" customWidth="1"/>
    <col min="23" max="23" width="12.5703125" customWidth="1"/>
    <col min="24" max="24" width="11.28515625" customWidth="1"/>
    <col min="25" max="26" width="9.140625" customWidth="1"/>
    <col min="27" max="27" width="19.140625" customWidth="1"/>
    <col min="28" max="28" width="31.85546875" customWidth="1"/>
    <col min="29" max="29" width="17.28515625" customWidth="1"/>
    <col min="30" max="30" width="17.42578125" customWidth="1"/>
    <col min="31" max="31" width="13.28515625" customWidth="1"/>
    <col min="32" max="32" width="13.7109375" customWidth="1"/>
  </cols>
  <sheetData>
    <row r="1" spans="1:28" ht="30" x14ac:dyDescent="0.25">
      <c r="A1" s="11" t="s">
        <v>94</v>
      </c>
      <c r="B1" s="11" t="s">
        <v>95</v>
      </c>
      <c r="C1" s="1" t="s">
        <v>96</v>
      </c>
      <c r="H1" s="16" t="s">
        <v>52</v>
      </c>
      <c r="I1" s="11" t="s">
        <v>35</v>
      </c>
      <c r="J1" s="11" t="s">
        <v>36</v>
      </c>
      <c r="K1" s="11" t="s">
        <v>37</v>
      </c>
      <c r="L1" s="11" t="s">
        <v>38</v>
      </c>
      <c r="M1" s="11" t="s">
        <v>43</v>
      </c>
      <c r="P1" s="11" t="s">
        <v>18</v>
      </c>
      <c r="Q1" s="11" t="s">
        <v>19</v>
      </c>
      <c r="R1" s="11" t="s">
        <v>20</v>
      </c>
      <c r="S1" s="11" t="s">
        <v>58</v>
      </c>
      <c r="T1" s="11" t="s">
        <v>59</v>
      </c>
      <c r="U1" s="11" t="s">
        <v>21</v>
      </c>
      <c r="V1" s="11" t="s">
        <v>99</v>
      </c>
      <c r="W1" s="13" t="s">
        <v>98</v>
      </c>
      <c r="X1" s="11" t="s">
        <v>97</v>
      </c>
      <c r="Y1" s="11" t="s">
        <v>100</v>
      </c>
      <c r="Z1" s="11" t="s">
        <v>101</v>
      </c>
      <c r="AA1" s="11" t="s">
        <v>102</v>
      </c>
      <c r="AB1" s="11" t="s">
        <v>103</v>
      </c>
    </row>
    <row r="2" spans="1:28" x14ac:dyDescent="0.25">
      <c r="A2" s="12" t="s">
        <v>23</v>
      </c>
      <c r="B2" s="12">
        <v>85</v>
      </c>
      <c r="C2" t="str" cm="1">
        <f t="array" ref="C2:C6">IF(B2:B6&gt;=35,"pass","fail")</f>
        <v>pass</v>
      </c>
      <c r="H2" s="17" t="s">
        <v>19</v>
      </c>
      <c r="I2" s="12" t="s">
        <v>44</v>
      </c>
      <c r="J2" s="12" t="s">
        <v>45</v>
      </c>
      <c r="K2" s="12" t="s">
        <v>46</v>
      </c>
      <c r="L2" s="12" t="s">
        <v>53</v>
      </c>
      <c r="M2">
        <f>HLOOKUP(K2,H2:L4,2,FALSE)</f>
        <v>200</v>
      </c>
      <c r="P2" s="12" t="s">
        <v>22</v>
      </c>
      <c r="Q2" s="12" t="s">
        <v>23</v>
      </c>
      <c r="R2" s="12" t="s">
        <v>24</v>
      </c>
      <c r="S2" s="12" t="s">
        <v>60</v>
      </c>
      <c r="T2" s="12">
        <v>2</v>
      </c>
      <c r="U2" s="12">
        <v>30000</v>
      </c>
      <c r="V2" s="12" t="b">
        <f>AND(Table3[[#This Row],[Experience]]&gt;4,Table3[[#This Row],[Salary]]&gt;40000)</f>
        <v>0</v>
      </c>
      <c r="W2" s="12" t="str">
        <f>IF(Table3[[#This Row],[Salary]]&gt;50000,"high","low")</f>
        <v>low</v>
      </c>
      <c r="X2" s="12" t="b">
        <f>OR(Table3[[#This Row],[Salary]]&lt;50000,Table3[[#This Row],[Experience]]&lt;3)</f>
        <v>1</v>
      </c>
      <c r="Y2" s="12" t="b">
        <f>NOT(Table3[[#This Row],[bonus]])</f>
        <v>0</v>
      </c>
      <c r="Z2" s="12" t="b">
        <f>_xlfn.XOR(Table3[[#This Row],[Salary]]&gt;=30000,Table3[[#This Row],[Experience]]&gt;=5)</f>
        <v>1</v>
      </c>
      <c r="AA2" s="12" t="str">
        <f>IF(_xlfn.XOR(Table3[[#This Row],[Salary]]&gt;=30000,Table3[[#This Row],[Experience]]&gt;=5),"Reward","no Reward")</f>
        <v>Reward</v>
      </c>
      <c r="AB2" s="12"/>
    </row>
    <row r="3" spans="1:28" x14ac:dyDescent="0.25">
      <c r="A3" s="12" t="s">
        <v>26</v>
      </c>
      <c r="B3" s="12">
        <v>42</v>
      </c>
      <c r="C3" t="str">
        <v>pass</v>
      </c>
      <c r="H3" s="17" t="s">
        <v>24</v>
      </c>
      <c r="I3" s="12">
        <v>100</v>
      </c>
      <c r="J3" s="12">
        <v>150</v>
      </c>
      <c r="K3" s="12">
        <v>200</v>
      </c>
      <c r="L3" s="12">
        <v>250</v>
      </c>
      <c r="M3">
        <f>HLOOKUP(I2,H2:L4,3,FALSE)</f>
        <v>20</v>
      </c>
      <c r="P3" s="12" t="s">
        <v>25</v>
      </c>
      <c r="Q3" s="12" t="s">
        <v>26</v>
      </c>
      <c r="R3" s="12" t="s">
        <v>27</v>
      </c>
      <c r="S3" s="12" t="s">
        <v>61</v>
      </c>
      <c r="T3" s="12">
        <v>3</v>
      </c>
      <c r="U3" s="12">
        <v>35000</v>
      </c>
      <c r="V3" s="12" t="b">
        <f>AND(Table3[[#This Row],[Experience]]&gt;4,Table3[[#This Row],[Salary]]&gt;40000)</f>
        <v>0</v>
      </c>
      <c r="W3" s="12" t="str">
        <f>IF(Table3[[#This Row],[Salary]]&gt;50000,"high","low")</f>
        <v>low</v>
      </c>
      <c r="X3" s="12" t="b">
        <f>OR(Table3[[#This Row],[Salary]]&lt;50000,Table3[[#This Row],[Experience]]&lt;3)</f>
        <v>1</v>
      </c>
      <c r="Y3" s="12" t="b">
        <f>NOT(Table3[[#This Row],[bonus]])</f>
        <v>0</v>
      </c>
      <c r="Z3" s="12" t="b">
        <f>_xlfn.XOR(Table3[[#This Row],[Salary]]&gt;=30000,Table3[[#This Row],[Experience]]&gt;=5)</f>
        <v>1</v>
      </c>
      <c r="AA3" s="12" t="str">
        <f>IF(_xlfn.XOR(Table3[[#This Row],[Salary]]&gt;=30000,Table3[[#This Row],[Experience]]&gt;=5),"Reward","no Reward")</f>
        <v>Reward</v>
      </c>
      <c r="AB3" s="12"/>
    </row>
    <row r="4" spans="1:28" ht="30" x14ac:dyDescent="0.25">
      <c r="A4" s="12" t="s">
        <v>29</v>
      </c>
      <c r="B4" s="12">
        <v>76</v>
      </c>
      <c r="C4" t="str">
        <v>pass</v>
      </c>
      <c r="H4" s="17" t="s">
        <v>54</v>
      </c>
      <c r="I4" s="12">
        <v>20</v>
      </c>
      <c r="J4" s="12">
        <v>30</v>
      </c>
      <c r="K4" s="12">
        <v>50</v>
      </c>
      <c r="L4" s="12">
        <v>60</v>
      </c>
      <c r="M4">
        <f>HLOOKUP(I1,H1:L4,4,FALSE)</f>
        <v>20</v>
      </c>
      <c r="P4" s="12" t="s">
        <v>28</v>
      </c>
      <c r="Q4" s="12" t="s">
        <v>29</v>
      </c>
      <c r="R4" s="12" t="s">
        <v>30</v>
      </c>
      <c r="S4" s="12" t="s">
        <v>62</v>
      </c>
      <c r="T4" s="12">
        <v>5</v>
      </c>
      <c r="U4" s="12">
        <v>45000</v>
      </c>
      <c r="V4" s="12" t="b">
        <f>AND(Table3[[#This Row],[Experience]]&gt;4,Table3[[#This Row],[Salary]]&gt;40000)</f>
        <v>1</v>
      </c>
      <c r="W4" s="12" t="str">
        <f>IF(Table3[[#This Row],[Salary]]&gt;50000,"high","low")</f>
        <v>low</v>
      </c>
      <c r="X4" s="12" t="b">
        <f>OR(Table3[[#This Row],[Salary]]&lt;50000,Table3[[#This Row],[Experience]]&lt;3)</f>
        <v>1</v>
      </c>
      <c r="Y4" s="12" t="b">
        <f>NOT(Table3[[#This Row],[bonus]])</f>
        <v>0</v>
      </c>
      <c r="Z4" s="12" t="b">
        <f>_xlfn.XOR(Table3[[#This Row],[Salary]]&gt;=30000,Table3[[#This Row],[Experience]]&gt;=5)</f>
        <v>0</v>
      </c>
      <c r="AA4" s="12" t="str">
        <f>IF(_xlfn.XOR(Table3[[#This Row],[Salary]]&gt;=30000,Table3[[#This Row],[Experience]]&gt;=5),"Reward","no Reward")</f>
        <v>no Reward</v>
      </c>
      <c r="AB4" s="12"/>
    </row>
    <row r="5" spans="1:28" x14ac:dyDescent="0.25">
      <c r="A5" s="12" t="s">
        <v>32</v>
      </c>
      <c r="B5" s="12">
        <v>28</v>
      </c>
      <c r="C5" t="str">
        <v>fail</v>
      </c>
      <c r="P5" s="12" t="s">
        <v>31</v>
      </c>
      <c r="Q5" s="12" t="s">
        <v>32</v>
      </c>
      <c r="R5" s="12" t="s">
        <v>33</v>
      </c>
      <c r="S5" s="12" t="s">
        <v>60</v>
      </c>
      <c r="T5" s="12">
        <v>4</v>
      </c>
      <c r="U5" s="12">
        <v>40000</v>
      </c>
      <c r="V5" s="12" t="b">
        <f>AND(Table3[[#This Row],[Experience]]&gt;4,Table3[[#This Row],[Salary]]&gt;40000)</f>
        <v>0</v>
      </c>
      <c r="W5" s="12" t="str">
        <f>IF(Table3[[#This Row],[Salary]]&gt;50000,"high","low")</f>
        <v>low</v>
      </c>
      <c r="X5" s="12" t="b">
        <f>OR(Table3[[#This Row],[Salary]]&lt;50000,Table3[[#This Row],[Experience]]&lt;3)</f>
        <v>1</v>
      </c>
      <c r="Y5" s="12" t="b">
        <f>NOT(Table3[[#This Row],[bonus]])</f>
        <v>0</v>
      </c>
      <c r="Z5" s="12" t="b">
        <f>_xlfn.XOR(Table3[[#This Row],[Salary]]&gt;=30000,Table3[[#This Row],[Experience]]&gt;=5)</f>
        <v>1</v>
      </c>
      <c r="AA5" s="12" t="str">
        <f>IF(_xlfn.XOR(Table3[[#This Row],[Salary]]&gt;=30000,Table3[[#This Row],[Experience]]&gt;=5),"Reward","no Reward")</f>
        <v>Reward</v>
      </c>
      <c r="AB5" s="12"/>
    </row>
    <row r="6" spans="1:28" x14ac:dyDescent="0.25">
      <c r="A6" s="12" t="s">
        <v>49</v>
      </c>
      <c r="B6" s="12">
        <v>35</v>
      </c>
      <c r="C6" t="str">
        <v>pass</v>
      </c>
      <c r="P6" s="12" t="s">
        <v>48</v>
      </c>
      <c r="Q6" s="12" t="s">
        <v>49</v>
      </c>
      <c r="R6" s="12" t="s">
        <v>50</v>
      </c>
      <c r="S6" s="12" t="s">
        <v>63</v>
      </c>
      <c r="T6" s="12">
        <v>3</v>
      </c>
      <c r="U6" s="12">
        <v>38000</v>
      </c>
      <c r="V6" s="12" t="b">
        <f>AND(Table3[[#This Row],[Experience]]&gt;4,Table3[[#This Row],[Salary]]&gt;40000)</f>
        <v>0</v>
      </c>
      <c r="W6" s="12" t="str">
        <f>IF(Table3[[#This Row],[Salary]]&gt;50000,"high","low")</f>
        <v>low</v>
      </c>
      <c r="X6" s="12" t="b">
        <f>OR(Table3[[#This Row],[Salary]]&lt;50000,Table3[[#This Row],[Experience]]&lt;3)</f>
        <v>1</v>
      </c>
      <c r="Y6" s="12" t="b">
        <f>NOT(Table3[[#This Row],[bonus]])</f>
        <v>0</v>
      </c>
      <c r="Z6" s="12" t="b">
        <f>_xlfn.XOR(Table3[[#This Row],[Salary]]&gt;=30000,Table3[[#This Row],[Experience]]&gt;=5)</f>
        <v>1</v>
      </c>
      <c r="AA6" s="12" t="str">
        <f>IF(_xlfn.XOR(Table3[[#This Row],[Salary]]&gt;=30000,Table3[[#This Row],[Experience]]&gt;=5),"Reward","no Reward")</f>
        <v>Reward</v>
      </c>
      <c r="AB6" s="12"/>
    </row>
    <row r="7" spans="1:28" ht="30" x14ac:dyDescent="0.25">
      <c r="P7" s="12" t="s">
        <v>64</v>
      </c>
      <c r="Q7" s="12" t="s">
        <v>65</v>
      </c>
      <c r="R7" s="12" t="s">
        <v>30</v>
      </c>
      <c r="S7" s="12" t="s">
        <v>61</v>
      </c>
      <c r="T7" s="12">
        <v>6</v>
      </c>
      <c r="U7" s="12">
        <v>55000</v>
      </c>
      <c r="V7" s="12" t="b">
        <f>AND(Table3[[#This Row],[Experience]]&gt;4,Table3[[#This Row],[Salary]]&gt;40000)</f>
        <v>1</v>
      </c>
      <c r="W7" s="12" t="str">
        <f>IF(Table3[[#This Row],[Salary]]&gt;50000,"high","low")</f>
        <v>high</v>
      </c>
      <c r="X7" s="12" t="b">
        <f>OR(Table3[[#This Row],[Salary]]&lt;50000,Table3[[#This Row],[Experience]]&lt;3)</f>
        <v>0</v>
      </c>
      <c r="Y7" s="12" t="b">
        <f>NOT(Table3[[#This Row],[bonus]])</f>
        <v>1</v>
      </c>
      <c r="Z7" s="12" t="b">
        <f>_xlfn.XOR(Table3[[#This Row],[Salary]]&gt;=30000,Table3[[#This Row],[Experience]]&gt;=5)</f>
        <v>0</v>
      </c>
      <c r="AA7" s="12" t="str">
        <f>IF(_xlfn.XOR(Table3[[#This Row],[Salary]]&gt;=30000,Table3[[#This Row],[Experience]]&gt;=5),"Reward","no Reward")</f>
        <v>no Reward</v>
      </c>
      <c r="AB7" s="12"/>
    </row>
    <row r="8" spans="1:28" x14ac:dyDescent="0.25">
      <c r="P8" s="12" t="s">
        <v>66</v>
      </c>
      <c r="Q8" s="12" t="s">
        <v>67</v>
      </c>
      <c r="R8" s="12" t="s">
        <v>24</v>
      </c>
      <c r="S8" s="12" t="s">
        <v>62</v>
      </c>
      <c r="T8" s="12">
        <v>2</v>
      </c>
      <c r="U8" s="12">
        <v>32000</v>
      </c>
      <c r="V8" s="12" t="b">
        <f>AND(Table3[[#This Row],[Experience]]&gt;4,Table3[[#This Row],[Salary]]&gt;40000)</f>
        <v>0</v>
      </c>
      <c r="W8" s="12" t="str">
        <f>IF(Table3[[#This Row],[Salary]]&gt;50000,"high","low")</f>
        <v>low</v>
      </c>
      <c r="X8" s="12" t="b">
        <f>OR(Table3[[#This Row],[Salary]]&lt;50000,Table3[[#This Row],[Experience]]&lt;3)</f>
        <v>1</v>
      </c>
      <c r="Y8" s="12" t="b">
        <f>NOT(Table3[[#This Row],[bonus]])</f>
        <v>0</v>
      </c>
      <c r="Z8" s="12" t="b">
        <f>_xlfn.XOR(Table3[[#This Row],[Salary]]&gt;=30000,Table3[[#This Row],[Experience]]&gt;=5)</f>
        <v>1</v>
      </c>
      <c r="AA8" s="12" t="str">
        <f>IF(_xlfn.XOR(Table3[[#This Row],[Salary]]&gt;=30000,Table3[[#This Row],[Experience]]&gt;=5),"Reward","no Reward")</f>
        <v>Reward</v>
      </c>
      <c r="AB8" s="12"/>
    </row>
    <row r="9" spans="1:28" ht="30" x14ac:dyDescent="0.25">
      <c r="A9" s="11" t="s">
        <v>18</v>
      </c>
      <c r="B9" s="11" t="s">
        <v>19</v>
      </c>
      <c r="C9" s="11" t="s">
        <v>20</v>
      </c>
      <c r="D9" s="11" t="s">
        <v>21</v>
      </c>
      <c r="E9" s="43" t="s">
        <v>51</v>
      </c>
      <c r="F9" s="35" t="s">
        <v>55</v>
      </c>
      <c r="G9" s="23" t="s">
        <v>56</v>
      </c>
      <c r="H9" s="19" t="s">
        <v>57</v>
      </c>
      <c r="P9" s="12" t="s">
        <v>68</v>
      </c>
      <c r="Q9" s="12" t="s">
        <v>69</v>
      </c>
      <c r="R9" s="12" t="s">
        <v>27</v>
      </c>
      <c r="S9" s="12" t="s">
        <v>63</v>
      </c>
      <c r="T9" s="12">
        <v>5</v>
      </c>
      <c r="U9" s="12">
        <v>42000</v>
      </c>
      <c r="V9" s="12" t="b">
        <f>AND(Table3[[#This Row],[Experience]]&gt;4,Table3[[#This Row],[Salary]]&gt;40000)</f>
        <v>1</v>
      </c>
      <c r="W9" s="12" t="str">
        <f>IF(Table3[[#This Row],[Salary]]&gt;50000,"high","low")</f>
        <v>low</v>
      </c>
      <c r="X9" s="12" t="b">
        <f>OR(Table3[[#This Row],[Salary]]&lt;50000,Table3[[#This Row],[Experience]]&lt;3)</f>
        <v>1</v>
      </c>
      <c r="Y9" s="12" t="b">
        <f>NOT(Table3[[#This Row],[bonus]])</f>
        <v>0</v>
      </c>
      <c r="Z9" s="12" t="b">
        <f>_xlfn.XOR(Table3[[#This Row],[Salary]]&gt;=30000,Table3[[#This Row],[Experience]]&gt;=5)</f>
        <v>0</v>
      </c>
      <c r="AA9" s="12" t="str">
        <f>IF(_xlfn.XOR(Table3[[#This Row],[Salary]]&gt;=30000,Table3[[#This Row],[Experience]]&gt;=5),"Reward","no Reward")</f>
        <v>no Reward</v>
      </c>
      <c r="AB9" s="12"/>
    </row>
    <row r="10" spans="1:28" ht="30" x14ac:dyDescent="0.25">
      <c r="A10" s="12" t="s">
        <v>22</v>
      </c>
      <c r="B10" s="12" t="s">
        <v>23</v>
      </c>
      <c r="C10" s="12" t="s">
        <v>24</v>
      </c>
      <c r="D10" s="12">
        <v>30000</v>
      </c>
      <c r="E10" s="42">
        <f>VLOOKUP(A12,A9:D14,4,FALSE)</f>
        <v>45000</v>
      </c>
      <c r="F10" s="34" t="e">
        <f ca="1">_xlfn.XLOOKUP(B10,B9:B14,A9:A14)</f>
        <v>#NAME?</v>
      </c>
      <c r="G10" s="22">
        <f>MATCH(A12,A9:A14,0)</f>
        <v>4</v>
      </c>
      <c r="H10" s="18" t="str">
        <f>INDEX(C9:C14,5)</f>
        <v>Finance</v>
      </c>
      <c r="P10" s="12" t="s">
        <v>70</v>
      </c>
      <c r="Q10" s="12" t="s">
        <v>71</v>
      </c>
      <c r="R10" s="12" t="s">
        <v>30</v>
      </c>
      <c r="S10" s="12" t="s">
        <v>60</v>
      </c>
      <c r="T10" s="12">
        <v>7</v>
      </c>
      <c r="U10" s="12">
        <v>60000</v>
      </c>
      <c r="V10" s="12" t="b">
        <f>AND(Table3[[#This Row],[Experience]]&gt;4,Table3[[#This Row],[Salary]]&gt;40000)</f>
        <v>1</v>
      </c>
      <c r="W10" s="12" t="str">
        <f>IF(Table3[[#This Row],[Salary]]&gt;50000,"high","low")</f>
        <v>high</v>
      </c>
      <c r="X10" s="12" t="b">
        <f>OR(Table3[[#This Row],[Salary]]&lt;50000,Table3[[#This Row],[Experience]]&lt;3)</f>
        <v>0</v>
      </c>
      <c r="Y10" s="12" t="b">
        <f>NOT(Table3[[#This Row],[bonus]])</f>
        <v>1</v>
      </c>
      <c r="Z10" s="12" t="b">
        <f>_xlfn.XOR(Table3[[#This Row],[Salary]]&gt;=30000,Table3[[#This Row],[Experience]]&gt;=5)</f>
        <v>0</v>
      </c>
      <c r="AA10" s="12" t="str">
        <f>IF(_xlfn.XOR(Table3[[#This Row],[Salary]]&gt;=30000,Table3[[#This Row],[Experience]]&gt;=5),"Reward","no Reward")</f>
        <v>no Reward</v>
      </c>
      <c r="AB10" s="12"/>
    </row>
    <row r="11" spans="1:28" x14ac:dyDescent="0.25">
      <c r="A11" s="12" t="s">
        <v>25</v>
      </c>
      <c r="B11" s="12" t="s">
        <v>26</v>
      </c>
      <c r="C11" s="12" t="s">
        <v>27</v>
      </c>
      <c r="D11" s="12">
        <v>35000</v>
      </c>
      <c r="E11" s="42" t="str">
        <f>VLOOKUP(A14,A9:D14,3,FALSE)</f>
        <v>Marketing</v>
      </c>
      <c r="F11" s="34" t="e">
        <f ca="1">_xlfn.XLOOKUP(D12,D9:D14,B9:B14)</f>
        <v>#NAME?</v>
      </c>
      <c r="G11" s="22">
        <f>MATCH(A10,A10:A14,0)</f>
        <v>1</v>
      </c>
      <c r="J11" s="1" t="s">
        <v>0</v>
      </c>
      <c r="K11" s="1" t="s">
        <v>1</v>
      </c>
      <c r="L11" s="1" t="s">
        <v>2</v>
      </c>
      <c r="P11" s="12" t="s">
        <v>72</v>
      </c>
      <c r="Q11" s="12" t="s">
        <v>73</v>
      </c>
      <c r="R11" s="12" t="s">
        <v>33</v>
      </c>
      <c r="S11" s="12" t="s">
        <v>61</v>
      </c>
      <c r="T11" s="12">
        <v>4</v>
      </c>
      <c r="U11" s="12">
        <v>41000</v>
      </c>
      <c r="V11" s="12" t="b">
        <f>AND(Table3[[#This Row],[Experience]]&gt;4,Table3[[#This Row],[Salary]]&gt;40000)</f>
        <v>0</v>
      </c>
      <c r="W11" s="12" t="str">
        <f>IF(Table3[[#This Row],[Salary]]&gt;50000,"high","low")</f>
        <v>low</v>
      </c>
      <c r="X11" s="12" t="b">
        <f>OR(Table3[[#This Row],[Salary]]&lt;50000,Table3[[#This Row],[Experience]]&lt;3)</f>
        <v>1</v>
      </c>
      <c r="Y11" s="12" t="b">
        <f>NOT(Table3[[#This Row],[bonus]])</f>
        <v>0</v>
      </c>
      <c r="Z11" s="12" t="b">
        <f>_xlfn.XOR(Table3[[#This Row],[Salary]]&gt;=30000,Table3[[#This Row],[Experience]]&gt;=5)</f>
        <v>1</v>
      </c>
      <c r="AA11" s="12" t="str">
        <f>IF(_xlfn.XOR(Table3[[#This Row],[Salary]]&gt;=30000,Table3[[#This Row],[Experience]]&gt;=5),"Reward","no Reward")</f>
        <v>Reward</v>
      </c>
      <c r="AB11" s="12"/>
    </row>
    <row r="12" spans="1:28" x14ac:dyDescent="0.25">
      <c r="A12" s="12" t="s">
        <v>28</v>
      </c>
      <c r="B12" s="12" t="s">
        <v>29</v>
      </c>
      <c r="C12" s="12" t="s">
        <v>30</v>
      </c>
      <c r="D12" s="12">
        <v>45000</v>
      </c>
      <c r="E12" s="42" t="str">
        <f>VLOOKUP(A11,A9:D14,2,FALSE)</f>
        <v>Priya</v>
      </c>
      <c r="F12" s="34" t="e">
        <f ca="1">_xlfn.XLOOKUP(B13,B9:B14,C9:C14)</f>
        <v>#NAME?</v>
      </c>
      <c r="G12" s="22">
        <f>MATCH(D12,D10:D14,0)</f>
        <v>3</v>
      </c>
      <c r="J12" t="s">
        <v>3</v>
      </c>
      <c r="K12" t="s">
        <v>10</v>
      </c>
      <c r="L12">
        <v>1000</v>
      </c>
      <c r="P12" s="12" t="s">
        <v>74</v>
      </c>
      <c r="Q12" s="12" t="s">
        <v>75</v>
      </c>
      <c r="R12" s="12" t="s">
        <v>50</v>
      </c>
      <c r="S12" s="12" t="s">
        <v>62</v>
      </c>
      <c r="T12" s="12">
        <v>3</v>
      </c>
      <c r="U12" s="12">
        <v>37000</v>
      </c>
      <c r="V12" s="12" t="b">
        <f>AND(Table3[[#This Row],[Experience]]&gt;4,Table3[[#This Row],[Salary]]&gt;40000)</f>
        <v>0</v>
      </c>
      <c r="W12" s="12" t="str">
        <f>IF(Table3[[#This Row],[Salary]]&gt;50000,"high","low")</f>
        <v>low</v>
      </c>
      <c r="X12" s="12" t="b">
        <f>OR(Table3[[#This Row],[Salary]]&lt;50000,Table3[[#This Row],[Experience]]&lt;3)</f>
        <v>1</v>
      </c>
      <c r="Y12" s="12" t="b">
        <f>NOT(Table3[[#This Row],[bonus]])</f>
        <v>0</v>
      </c>
      <c r="Z12" s="12" t="b">
        <f>_xlfn.XOR(Table3[[#This Row],[Salary]]&gt;=30000,Table3[[#This Row],[Experience]]&gt;=5)</f>
        <v>1</v>
      </c>
      <c r="AA12" s="12" t="str">
        <f>IF(_xlfn.XOR(Table3[[#This Row],[Salary]]&gt;=30000,Table3[[#This Row],[Experience]]&gt;=5),"Reward","no Reward")</f>
        <v>Reward</v>
      </c>
      <c r="AB12" s="12"/>
    </row>
    <row r="13" spans="1:28" ht="30" x14ac:dyDescent="0.25">
      <c r="A13" s="12" t="s">
        <v>31</v>
      </c>
      <c r="B13" s="12" t="s">
        <v>32</v>
      </c>
      <c r="C13" s="12" t="s">
        <v>33</v>
      </c>
      <c r="D13" s="12">
        <v>40000</v>
      </c>
      <c r="G13" s="22">
        <f>MATCH(C10,C10:C14,0)</f>
        <v>1</v>
      </c>
      <c r="J13" t="s">
        <v>4</v>
      </c>
      <c r="K13" t="s">
        <v>11</v>
      </c>
      <c r="L13">
        <v>50000</v>
      </c>
      <c r="P13" s="12" t="s">
        <v>76</v>
      </c>
      <c r="Q13" s="12" t="s">
        <v>77</v>
      </c>
      <c r="R13" s="12" t="s">
        <v>30</v>
      </c>
      <c r="S13" s="12" t="s">
        <v>63</v>
      </c>
      <c r="T13" s="12">
        <v>8</v>
      </c>
      <c r="U13" s="12">
        <v>65000</v>
      </c>
      <c r="V13" s="12" t="b">
        <f>AND(Table3[[#This Row],[Experience]]&gt;4,Table3[[#This Row],[Salary]]&gt;40000)</f>
        <v>1</v>
      </c>
      <c r="W13" s="12" t="str">
        <f>IF(Table3[[#This Row],[Salary]]&gt;50000,"high","low")</f>
        <v>high</v>
      </c>
      <c r="X13" s="12" t="b">
        <f>OR(Table3[[#This Row],[Salary]]&lt;50000,Table3[[#This Row],[Experience]]&lt;3)</f>
        <v>0</v>
      </c>
      <c r="Y13" s="12" t="b">
        <f>NOT(Table3[[#This Row],[bonus]])</f>
        <v>1</v>
      </c>
      <c r="Z13" s="12" t="b">
        <f>_xlfn.XOR(Table3[[#This Row],[Salary]]&gt;=30000,Table3[[#This Row],[Experience]]&gt;=5)</f>
        <v>0</v>
      </c>
      <c r="AA13" s="12" t="str">
        <f>IF(_xlfn.XOR(Table3[[#This Row],[Salary]]&gt;=30000,Table3[[#This Row],[Experience]]&gt;=5),"Reward","no Reward")</f>
        <v>no Reward</v>
      </c>
      <c r="AB13" s="12"/>
    </row>
    <row r="14" spans="1:28" ht="30" x14ac:dyDescent="0.25">
      <c r="A14" s="12" t="s">
        <v>48</v>
      </c>
      <c r="B14" s="12" t="s">
        <v>49</v>
      </c>
      <c r="C14" s="12" t="s">
        <v>50</v>
      </c>
      <c r="D14" s="12">
        <v>38000</v>
      </c>
      <c r="J14" t="s">
        <v>5</v>
      </c>
      <c r="K14" t="s">
        <v>12</v>
      </c>
      <c r="L14">
        <v>10000</v>
      </c>
      <c r="P14" s="12" t="s">
        <v>78</v>
      </c>
      <c r="Q14" s="12" t="s">
        <v>79</v>
      </c>
      <c r="R14" s="12" t="s">
        <v>24</v>
      </c>
      <c r="S14" s="12" t="s">
        <v>60</v>
      </c>
      <c r="T14" s="12">
        <v>1</v>
      </c>
      <c r="U14" s="12">
        <v>28000</v>
      </c>
      <c r="V14" s="12" t="b">
        <f>AND(Table3[[#This Row],[Experience]]&gt;4,Table3[[#This Row],[Salary]]&gt;40000)</f>
        <v>0</v>
      </c>
      <c r="W14" s="12" t="str">
        <f>IF(Table3[[#This Row],[Salary]]&gt;50000,"high","low")</f>
        <v>low</v>
      </c>
      <c r="X14" s="12" t="b">
        <f>OR(Table3[[#This Row],[Salary]]&lt;50000,Table3[[#This Row],[Experience]]&lt;3)</f>
        <v>1</v>
      </c>
      <c r="Y14" s="12" t="b">
        <f>NOT(Table3[[#This Row],[bonus]])</f>
        <v>0</v>
      </c>
      <c r="Z14" s="12" t="b">
        <f>_xlfn.XOR(Table3[[#This Row],[Salary]]&gt;=30000,Table3[[#This Row],[Experience]]&gt;=5)</f>
        <v>0</v>
      </c>
      <c r="AA14" s="12" t="str">
        <f>IF(_xlfn.XOR(Table3[[#This Row],[Salary]]&gt;=30000,Table3[[#This Row],[Experience]]&gt;=5),"Reward","no Reward")</f>
        <v>no Reward</v>
      </c>
      <c r="AB14" s="12"/>
    </row>
    <row r="15" spans="1:28" x14ac:dyDescent="0.25">
      <c r="J15" t="s">
        <v>6</v>
      </c>
      <c r="K15" t="s">
        <v>13</v>
      </c>
      <c r="L15">
        <v>20000</v>
      </c>
      <c r="P15" s="12" t="s">
        <v>80</v>
      </c>
      <c r="Q15" s="12" t="s">
        <v>81</v>
      </c>
      <c r="R15" s="12" t="s">
        <v>27</v>
      </c>
      <c r="S15" s="12" t="s">
        <v>62</v>
      </c>
      <c r="T15" s="12">
        <v>2</v>
      </c>
      <c r="U15" s="12">
        <v>33000</v>
      </c>
      <c r="V15" s="12" t="b">
        <f>AND(Table3[[#This Row],[Experience]]&gt;4,Table3[[#This Row],[Salary]]&gt;40000)</f>
        <v>0</v>
      </c>
      <c r="W15" s="12" t="str">
        <f>IF(Table3[[#This Row],[Salary]]&gt;50000,"high","low")</f>
        <v>low</v>
      </c>
      <c r="X15" s="12" t="b">
        <f>OR(Table3[[#This Row],[Salary]]&lt;50000,Table3[[#This Row],[Experience]]&lt;3)</f>
        <v>1</v>
      </c>
      <c r="Y15" s="12" t="b">
        <f>NOT(Table3[[#This Row],[bonus]])</f>
        <v>0</v>
      </c>
      <c r="Z15" s="12" t="b">
        <f>_xlfn.XOR(Table3[[#This Row],[Salary]]&gt;=30000,Table3[[#This Row],[Experience]]&gt;=5)</f>
        <v>1</v>
      </c>
      <c r="AA15" s="12" t="str">
        <f>IF(_xlfn.XOR(Table3[[#This Row],[Salary]]&gt;=30000,Table3[[#This Row],[Experience]]&gt;=5),"Reward","no Reward")</f>
        <v>Reward</v>
      </c>
      <c r="AB15" s="12"/>
    </row>
    <row r="16" spans="1:28" ht="30" x14ac:dyDescent="0.25">
      <c r="J16" t="s">
        <v>7</v>
      </c>
      <c r="K16" t="s">
        <v>14</v>
      </c>
      <c r="L16">
        <v>100000</v>
      </c>
      <c r="P16" s="12" t="s">
        <v>82</v>
      </c>
      <c r="Q16" s="12" t="s">
        <v>83</v>
      </c>
      <c r="R16" s="12" t="s">
        <v>33</v>
      </c>
      <c r="S16" s="12" t="s">
        <v>63</v>
      </c>
      <c r="T16" s="12">
        <v>6</v>
      </c>
      <c r="U16" s="12">
        <v>50000</v>
      </c>
      <c r="V16" s="12" t="b">
        <f>AND(Table3[[#This Row],[Experience]]&gt;4,Table3[[#This Row],[Salary]]&gt;40000)</f>
        <v>1</v>
      </c>
      <c r="W16" s="12" t="str">
        <f>IF(Table3[[#This Row],[Salary]]&gt;50000,"high","low")</f>
        <v>low</v>
      </c>
      <c r="X16" s="12" t="b">
        <f>OR(Table3[[#This Row],[Salary]]&lt;50000,Table3[[#This Row],[Experience]]&lt;3)</f>
        <v>0</v>
      </c>
      <c r="Y16" s="12" t="b">
        <f>NOT(Table3[[#This Row],[bonus]])</f>
        <v>1</v>
      </c>
      <c r="Z16" s="12" t="b">
        <f>_xlfn.XOR(Table3[[#This Row],[Salary]]&gt;=30000,Table3[[#This Row],[Experience]]&gt;=5)</f>
        <v>0</v>
      </c>
      <c r="AA16" s="12" t="str">
        <f>IF(_xlfn.XOR(Table3[[#This Row],[Salary]]&gt;=30000,Table3[[#This Row],[Experience]]&gt;=5),"Reward","no Reward")</f>
        <v>no Reward</v>
      </c>
      <c r="AB16" s="12"/>
    </row>
    <row r="17" spans="1:28" ht="30" x14ac:dyDescent="0.25">
      <c r="J17" t="s">
        <v>8</v>
      </c>
      <c r="K17" t="s">
        <v>15</v>
      </c>
      <c r="L17">
        <v>50000</v>
      </c>
      <c r="P17" s="12" t="s">
        <v>84</v>
      </c>
      <c r="Q17" s="12" t="s">
        <v>85</v>
      </c>
      <c r="R17" s="12" t="s">
        <v>30</v>
      </c>
      <c r="S17" s="12" t="s">
        <v>61</v>
      </c>
      <c r="T17" s="12">
        <v>5</v>
      </c>
      <c r="U17" s="12">
        <v>53000</v>
      </c>
      <c r="V17" s="12" t="b">
        <f>AND(Table3[[#This Row],[Experience]]&gt;4,Table3[[#This Row],[Salary]]&gt;40000)</f>
        <v>1</v>
      </c>
      <c r="W17" s="12" t="str">
        <f>IF(Table3[[#This Row],[Salary]]&gt;50000,"high","low")</f>
        <v>high</v>
      </c>
      <c r="X17" s="12" t="b">
        <f>OR(Table3[[#This Row],[Salary]]&lt;50000,Table3[[#This Row],[Experience]]&lt;3)</f>
        <v>0</v>
      </c>
      <c r="Y17" s="12" t="b">
        <f>NOT(Table3[[#This Row],[bonus]])</f>
        <v>1</v>
      </c>
      <c r="Z17" s="12" t="b">
        <f>_xlfn.XOR(Table3[[#This Row],[Salary]]&gt;=30000,Table3[[#This Row],[Experience]]&gt;=5)</f>
        <v>0</v>
      </c>
      <c r="AA17" s="12" t="str">
        <f>IF(_xlfn.XOR(Table3[[#This Row],[Salary]]&gt;=30000,Table3[[#This Row],[Experience]]&gt;=5),"Reward","no Reward")</f>
        <v>no Reward</v>
      </c>
      <c r="AB17" s="12"/>
    </row>
    <row r="18" spans="1:28" x14ac:dyDescent="0.25">
      <c r="J18" t="s">
        <v>9</v>
      </c>
      <c r="K18" t="s">
        <v>13</v>
      </c>
      <c r="L18">
        <v>20000</v>
      </c>
      <c r="P18" s="12" t="s">
        <v>86</v>
      </c>
      <c r="Q18" s="12" t="s">
        <v>87</v>
      </c>
      <c r="R18" s="12" t="s">
        <v>50</v>
      </c>
      <c r="S18" s="12" t="s">
        <v>60</v>
      </c>
      <c r="T18" s="12">
        <v>4</v>
      </c>
      <c r="U18" s="12">
        <v>39000</v>
      </c>
      <c r="V18" s="12" t="b">
        <f>AND(Table3[[#This Row],[Experience]]&gt;4,Table3[[#This Row],[Salary]]&gt;40000)</f>
        <v>0</v>
      </c>
      <c r="W18" s="12" t="str">
        <f>IF(Table3[[#This Row],[Salary]]&gt;50000,"high","low")</f>
        <v>low</v>
      </c>
      <c r="X18" s="12" t="b">
        <f>OR(Table3[[#This Row],[Salary]]&lt;50000,Table3[[#This Row],[Experience]]&lt;3)</f>
        <v>1</v>
      </c>
      <c r="Y18" s="12" t="b">
        <f>NOT(Table3[[#This Row],[bonus]])</f>
        <v>0</v>
      </c>
      <c r="Z18" s="12" t="b">
        <f>_xlfn.XOR(Table3[[#This Row],[Salary]]&gt;=30000,Table3[[#This Row],[Experience]]&gt;=5)</f>
        <v>1</v>
      </c>
      <c r="AA18" s="12" t="str">
        <f>IF(_xlfn.XOR(Table3[[#This Row],[Salary]]&gt;=30000,Table3[[#This Row],[Experience]]&gt;=5),"Reward","no Reward")</f>
        <v>Reward</v>
      </c>
      <c r="AB18" s="12"/>
    </row>
    <row r="19" spans="1:28" ht="30" x14ac:dyDescent="0.25">
      <c r="P19" s="12" t="s">
        <v>88</v>
      </c>
      <c r="Q19" s="12" t="s">
        <v>89</v>
      </c>
      <c r="R19" s="12" t="s">
        <v>24</v>
      </c>
      <c r="S19" s="12" t="s">
        <v>63</v>
      </c>
      <c r="T19" s="12">
        <v>7</v>
      </c>
      <c r="U19" s="12">
        <v>47000</v>
      </c>
      <c r="V19" s="12" t="b">
        <f>AND(Table3[[#This Row],[Experience]]&gt;4,Table3[[#This Row],[Salary]]&gt;40000)</f>
        <v>1</v>
      </c>
      <c r="W19" s="12" t="str">
        <f>IF(Table3[[#This Row],[Salary]]&gt;50000,"high","low")</f>
        <v>low</v>
      </c>
      <c r="X19" s="12" t="b">
        <f>OR(Table3[[#This Row],[Salary]]&lt;50000,Table3[[#This Row],[Experience]]&lt;3)</f>
        <v>1</v>
      </c>
      <c r="Y19" s="12" t="b">
        <f>NOT(Table3[[#This Row],[bonus]])</f>
        <v>0</v>
      </c>
      <c r="Z19" s="12" t="b">
        <f>_xlfn.XOR(Table3[[#This Row],[Salary]]&gt;=30000,Table3[[#This Row],[Experience]]&gt;=5)</f>
        <v>0</v>
      </c>
      <c r="AA19" s="12" t="str">
        <f>IF(_xlfn.XOR(Table3[[#This Row],[Salary]]&gt;=30000,Table3[[#This Row],[Experience]]&gt;=5),"Reward","no Reward")</f>
        <v>no Reward</v>
      </c>
      <c r="AB19" s="12"/>
    </row>
    <row r="20" spans="1:28" x14ac:dyDescent="0.25">
      <c r="P20" s="12" t="s">
        <v>90</v>
      </c>
      <c r="Q20" s="12" t="s">
        <v>91</v>
      </c>
      <c r="R20" s="12" t="s">
        <v>27</v>
      </c>
      <c r="S20" s="12" t="s">
        <v>61</v>
      </c>
      <c r="T20" s="12">
        <v>3</v>
      </c>
      <c r="U20" s="12">
        <v>36000</v>
      </c>
      <c r="V20" s="12" t="b">
        <f>AND(Table3[[#This Row],[Experience]]&gt;4,Table3[[#This Row],[Salary]]&gt;40000)</f>
        <v>0</v>
      </c>
      <c r="W20" s="12" t="str">
        <f>IF(Table3[[#This Row],[Salary]]&gt;50000,"high","low")</f>
        <v>low</v>
      </c>
      <c r="X20" s="12" t="b">
        <f>OR(Table3[[#This Row],[Salary]]&lt;50000,Table3[[#This Row],[Experience]]&lt;3)</f>
        <v>1</v>
      </c>
      <c r="Y20" s="12" t="b">
        <f>NOT(Table3[[#This Row],[bonus]])</f>
        <v>0</v>
      </c>
      <c r="Z20" s="12" t="b">
        <f>_xlfn.XOR(Table3[[#This Row],[Salary]]&gt;=30000,Table3[[#This Row],[Experience]]&gt;=5)</f>
        <v>1</v>
      </c>
      <c r="AA20" s="12" t="str">
        <f>IF(_xlfn.XOR(Table3[[#This Row],[Salary]]&gt;=30000,Table3[[#This Row],[Experience]]&gt;=5),"Reward","no Reward")</f>
        <v>Reward</v>
      </c>
      <c r="AB20" s="12"/>
    </row>
    <row r="21" spans="1:28" ht="30" x14ac:dyDescent="0.25">
      <c r="P21" s="12" t="s">
        <v>92</v>
      </c>
      <c r="Q21" s="12" t="s">
        <v>93</v>
      </c>
      <c r="R21" s="12" t="s">
        <v>30</v>
      </c>
      <c r="S21" s="12" t="s">
        <v>62</v>
      </c>
      <c r="T21" s="12">
        <v>9</v>
      </c>
      <c r="U21" s="12">
        <v>70000</v>
      </c>
      <c r="V21" s="12" t="b">
        <f>AND(Table3[[#This Row],[Experience]]&gt;4,Table3[[#This Row],[Salary]]&gt;40000)</f>
        <v>1</v>
      </c>
      <c r="W21" s="12" t="str">
        <f>IF(Table3[[#This Row],[Salary]]&gt;50000,"high","low")</f>
        <v>high</v>
      </c>
      <c r="X21" s="12" t="b">
        <f>OR(Table3[[#This Row],[Salary]]&lt;50000,Table3[[#This Row],[Experience]]&lt;3)</f>
        <v>0</v>
      </c>
      <c r="Y21" s="12" t="b">
        <f>NOT(Table3[[#This Row],[bonus]])</f>
        <v>1</v>
      </c>
      <c r="Z21" s="12" t="b">
        <f>_xlfn.XOR(Table3[[#This Row],[Salary]]&gt;=30000,Table3[[#This Row],[Experience]]&gt;=5)</f>
        <v>0</v>
      </c>
      <c r="AA21" s="12" t="str">
        <f>IF(_xlfn.XOR(Table3[[#This Row],[Salary]]&gt;=30000,Table3[[#This Row],[Experience]]&gt;=5),"Reward","no Reward")</f>
        <v>no Reward</v>
      </c>
      <c r="AB21" s="12"/>
    </row>
    <row r="22" spans="1:28" x14ac:dyDescent="0.25">
      <c r="J22" s="1" t="s">
        <v>55</v>
      </c>
      <c r="K22" t="s">
        <v>51</v>
      </c>
    </row>
    <row r="23" spans="1:28" x14ac:dyDescent="0.25">
      <c r="K23">
        <f>VLOOKUP(K14,K12:L18,2,FALSE)</f>
        <v>10000</v>
      </c>
      <c r="P23" s="11" t="s">
        <v>94</v>
      </c>
      <c r="Q23" s="11" t="s">
        <v>95</v>
      </c>
      <c r="R23" s="1" t="s">
        <v>96</v>
      </c>
    </row>
    <row r="24" spans="1:28" x14ac:dyDescent="0.25">
      <c r="K24">
        <f>VLOOKUP(J16,J12:L18,3,0)</f>
        <v>100000</v>
      </c>
      <c r="P24" s="12" t="s">
        <v>23</v>
      </c>
      <c r="Q24" s="12">
        <v>85</v>
      </c>
      <c r="R24" t="e" cm="1">
        <f t="array" ref="R24">if</f>
        <v>#NAME?</v>
      </c>
    </row>
    <row r="25" spans="1:28" x14ac:dyDescent="0.25">
      <c r="K25" s="47">
        <f>VLOOKUP(K13,K12:L18,2,FALSE)</f>
        <v>50000</v>
      </c>
      <c r="P25" s="12" t="s">
        <v>26</v>
      </c>
      <c r="Q25" s="12">
        <v>42</v>
      </c>
    </row>
    <row r="26" spans="1:28" x14ac:dyDescent="0.25">
      <c r="P26" s="12" t="s">
        <v>29</v>
      </c>
      <c r="Q26" s="12">
        <v>76</v>
      </c>
    </row>
    <row r="27" spans="1:28" x14ac:dyDescent="0.25">
      <c r="A27" s="11" t="s">
        <v>47</v>
      </c>
      <c r="B27" s="11" t="s">
        <v>35</v>
      </c>
      <c r="C27" s="11" t="s">
        <v>36</v>
      </c>
      <c r="D27" s="11" t="s">
        <v>37</v>
      </c>
      <c r="P27" s="12" t="s">
        <v>32</v>
      </c>
      <c r="Q27" s="12">
        <v>28</v>
      </c>
    </row>
    <row r="28" spans="1:28" x14ac:dyDescent="0.25">
      <c r="A28" s="12">
        <v>1</v>
      </c>
      <c r="B28" s="12" t="s">
        <v>44</v>
      </c>
      <c r="C28" s="12" t="s">
        <v>45</v>
      </c>
      <c r="D28" s="12" t="s">
        <v>46</v>
      </c>
      <c r="P28" s="12" t="s">
        <v>49</v>
      </c>
      <c r="Q28" s="12">
        <v>35</v>
      </c>
    </row>
    <row r="29" spans="1:28" x14ac:dyDescent="0.25">
      <c r="A29" s="12">
        <v>2</v>
      </c>
      <c r="B29" s="12">
        <v>100</v>
      </c>
      <c r="C29" s="12">
        <v>150</v>
      </c>
      <c r="D29" s="12">
        <v>200</v>
      </c>
    </row>
    <row r="31" spans="1:28" x14ac:dyDescent="0.25">
      <c r="E31" s="42" t="s">
        <v>43</v>
      </c>
      <c r="F31" s="34">
        <f>HLOOKUP(B28,B28:D29,2,FALSE)</f>
        <v>100</v>
      </c>
    </row>
    <row r="35" spans="11:28" x14ac:dyDescent="0.25">
      <c r="K35" s="11" t="s">
        <v>18</v>
      </c>
      <c r="L35" s="11" t="s">
        <v>19</v>
      </c>
      <c r="M35" s="11" t="s">
        <v>20</v>
      </c>
      <c r="N35" s="20" t="s">
        <v>21</v>
      </c>
      <c r="R35" s="11"/>
      <c r="S35" s="11" t="s">
        <v>35</v>
      </c>
      <c r="T35" s="11" t="s">
        <v>36</v>
      </c>
      <c r="U35" s="11" t="s">
        <v>37</v>
      </c>
      <c r="V35" s="11" t="s">
        <v>38</v>
      </c>
    </row>
    <row r="36" spans="11:28" x14ac:dyDescent="0.25">
      <c r="K36" s="12" t="s">
        <v>22</v>
      </c>
      <c r="L36" s="12" t="s">
        <v>23</v>
      </c>
      <c r="M36" s="12" t="s">
        <v>24</v>
      </c>
      <c r="N36" s="21">
        <v>30000</v>
      </c>
      <c r="R36" s="12">
        <v>1</v>
      </c>
      <c r="S36" s="12" t="s">
        <v>39</v>
      </c>
      <c r="T36" s="12" t="s">
        <v>40</v>
      </c>
      <c r="U36" s="12" t="s">
        <v>41</v>
      </c>
      <c r="V36" s="12" t="s">
        <v>42</v>
      </c>
    </row>
    <row r="37" spans="11:28" x14ac:dyDescent="0.25">
      <c r="K37" s="12" t="s">
        <v>25</v>
      </c>
      <c r="L37" s="12" t="s">
        <v>26</v>
      </c>
      <c r="M37" s="12" t="s">
        <v>27</v>
      </c>
      <c r="N37" s="21">
        <v>35000</v>
      </c>
      <c r="R37" s="12">
        <v>2</v>
      </c>
      <c r="S37" s="12">
        <v>5000</v>
      </c>
      <c r="T37" s="12">
        <v>6000</v>
      </c>
      <c r="U37" s="12">
        <v>7000</v>
      </c>
      <c r="V37" s="12">
        <v>8000</v>
      </c>
    </row>
    <row r="38" spans="11:28" x14ac:dyDescent="0.25">
      <c r="K38" s="12" t="s">
        <v>28</v>
      </c>
      <c r="L38" s="12" t="s">
        <v>29</v>
      </c>
      <c r="M38" s="12" t="s">
        <v>30</v>
      </c>
      <c r="N38" s="21">
        <v>45000</v>
      </c>
    </row>
    <row r="39" spans="11:28" x14ac:dyDescent="0.25">
      <c r="K39" s="12" t="s">
        <v>31</v>
      </c>
      <c r="L39" s="12" t="s">
        <v>32</v>
      </c>
      <c r="M39" s="12" t="s">
        <v>33</v>
      </c>
      <c r="N39" s="21">
        <v>40000</v>
      </c>
    </row>
    <row r="40" spans="11:28" x14ac:dyDescent="0.25">
      <c r="K40" s="12"/>
      <c r="L40" s="12"/>
      <c r="M40" s="12"/>
      <c r="N40" s="21"/>
    </row>
    <row r="42" spans="11:28" x14ac:dyDescent="0.25">
      <c r="K42" s="1" t="s">
        <v>17</v>
      </c>
    </row>
    <row r="43" spans="11:28" x14ac:dyDescent="0.25">
      <c r="K43" t="s">
        <v>34</v>
      </c>
      <c r="L43">
        <f>VLOOKUP(K38,K35:N39,4,0)</f>
        <v>45000</v>
      </c>
    </row>
    <row r="47" spans="11:28" x14ac:dyDescent="0.25">
      <c r="AA47" s="1" t="s">
        <v>190</v>
      </c>
      <c r="AB47" s="38" t="s">
        <v>199</v>
      </c>
    </row>
    <row r="48" spans="11:28" x14ac:dyDescent="0.25">
      <c r="AA48" s="1" t="s">
        <v>191</v>
      </c>
      <c r="AB48" s="39">
        <v>123456</v>
      </c>
    </row>
    <row r="49" spans="1:32" s="49" customFormat="1" ht="17.25" customHeight="1" x14ac:dyDescent="0.3">
      <c r="A49" s="24" t="s">
        <v>104</v>
      </c>
      <c r="B49" s="24" t="s">
        <v>105</v>
      </c>
      <c r="C49" s="24" t="s">
        <v>106</v>
      </c>
      <c r="D49" s="24" t="s">
        <v>107</v>
      </c>
      <c r="E49" s="44" t="s">
        <v>16</v>
      </c>
      <c r="F49" s="36" t="s">
        <v>108</v>
      </c>
      <c r="G49" s="25" t="s">
        <v>109</v>
      </c>
      <c r="H49" s="26" t="s">
        <v>110</v>
      </c>
      <c r="I49" s="24" t="s">
        <v>111</v>
      </c>
      <c r="J49" s="24" t="s">
        <v>112</v>
      </c>
      <c r="K49" s="24" t="s">
        <v>113</v>
      </c>
      <c r="L49" s="24" t="s">
        <v>114</v>
      </c>
      <c r="M49" s="24" t="s">
        <v>115</v>
      </c>
      <c r="N49" s="27" t="s">
        <v>116</v>
      </c>
      <c r="O49" s="24" t="s">
        <v>200</v>
      </c>
      <c r="P49" s="52" t="s">
        <v>201</v>
      </c>
      <c r="Q49" s="53" t="s">
        <v>24</v>
      </c>
      <c r="R49" s="53" t="s">
        <v>54</v>
      </c>
      <c r="AA49" s="50" t="s">
        <v>192</v>
      </c>
      <c r="AB49" s="51">
        <v>0.26</v>
      </c>
    </row>
    <row r="50" spans="1:32" ht="18.75" x14ac:dyDescent="0.25">
      <c r="A50" s="28">
        <v>1</v>
      </c>
      <c r="B50" s="28">
        <v>8270</v>
      </c>
      <c r="C50" s="28">
        <v>295</v>
      </c>
      <c r="D50" s="28" t="s">
        <v>117</v>
      </c>
      <c r="E50" s="45">
        <v>1</v>
      </c>
      <c r="F50" s="37">
        <v>801.66</v>
      </c>
      <c r="G50" s="29">
        <v>0.13</v>
      </c>
      <c r="H50" s="30">
        <v>45282.44127314815</v>
      </c>
      <c r="I50" s="28" t="s">
        <v>118</v>
      </c>
      <c r="J50" s="28" t="s">
        <v>119</v>
      </c>
      <c r="K50" s="28">
        <v>46</v>
      </c>
      <c r="L50" s="28" t="s">
        <v>120</v>
      </c>
      <c r="M50" s="28" t="s">
        <v>121</v>
      </c>
      <c r="N50" s="31">
        <v>83.36</v>
      </c>
      <c r="O50" s="54">
        <v>5</v>
      </c>
      <c r="P50" s="55" t="s">
        <v>202</v>
      </c>
      <c r="Q50" s="56">
        <v>5200</v>
      </c>
      <c r="R50" s="56">
        <v>800</v>
      </c>
    </row>
    <row r="51" spans="1:32" ht="18.75" x14ac:dyDescent="0.25">
      <c r="A51" s="28">
        <v>2</v>
      </c>
      <c r="B51" s="28">
        <v>1860</v>
      </c>
      <c r="C51" s="28">
        <v>546</v>
      </c>
      <c r="D51" s="28" t="s">
        <v>122</v>
      </c>
      <c r="E51" s="45">
        <v>1</v>
      </c>
      <c r="F51" s="37">
        <v>225.03</v>
      </c>
      <c r="G51" s="29">
        <v>0.06</v>
      </c>
      <c r="H51" s="30">
        <v>45417.444826388892</v>
      </c>
      <c r="I51" s="28" t="s">
        <v>123</v>
      </c>
      <c r="J51" s="28" t="s">
        <v>124</v>
      </c>
      <c r="K51" s="28">
        <v>59</v>
      </c>
      <c r="L51" s="28" t="s">
        <v>125</v>
      </c>
      <c r="M51" s="28" t="s">
        <v>126</v>
      </c>
      <c r="N51" s="31">
        <v>58.88</v>
      </c>
      <c r="O51" s="54">
        <v>5</v>
      </c>
      <c r="P51" s="55" t="s">
        <v>203</v>
      </c>
      <c r="Q51" s="56">
        <v>3400</v>
      </c>
      <c r="R51" s="56">
        <v>450</v>
      </c>
    </row>
    <row r="52" spans="1:32" ht="18.75" x14ac:dyDescent="0.25">
      <c r="A52" s="28">
        <v>3</v>
      </c>
      <c r="B52" s="28">
        <v>6390</v>
      </c>
      <c r="C52" s="28">
        <v>430</v>
      </c>
      <c r="D52" s="28" t="s">
        <v>127</v>
      </c>
      <c r="E52" s="45">
        <v>2</v>
      </c>
      <c r="F52" s="37">
        <v>544.99</v>
      </c>
      <c r="G52" s="29">
        <v>0.24</v>
      </c>
      <c r="H52" s="30">
        <v>45264.224293981482</v>
      </c>
      <c r="I52" s="28" t="s">
        <v>123</v>
      </c>
      <c r="J52" s="28" t="s">
        <v>128</v>
      </c>
      <c r="K52" s="28">
        <v>61</v>
      </c>
      <c r="L52" s="28" t="s">
        <v>120</v>
      </c>
      <c r="M52" s="28" t="s">
        <v>126</v>
      </c>
      <c r="N52" s="31">
        <v>53.99</v>
      </c>
      <c r="O52" s="54">
        <v>5</v>
      </c>
      <c r="P52" s="55" t="s">
        <v>204</v>
      </c>
      <c r="Q52" s="56">
        <v>6100</v>
      </c>
      <c r="R52" s="56">
        <v>1200</v>
      </c>
    </row>
    <row r="53" spans="1:32" ht="18.75" x14ac:dyDescent="0.25">
      <c r="A53" s="28">
        <v>4</v>
      </c>
      <c r="B53" s="28">
        <v>6191</v>
      </c>
      <c r="C53" s="28">
        <v>807</v>
      </c>
      <c r="D53" s="28" t="s">
        <v>122</v>
      </c>
      <c r="E53" s="45">
        <v>2</v>
      </c>
      <c r="F53" s="37">
        <v>157.02000000000001</v>
      </c>
      <c r="G53" s="29">
        <v>0.01</v>
      </c>
      <c r="H53" s="30">
        <v>45293.46597222222</v>
      </c>
      <c r="I53" s="28" t="s">
        <v>129</v>
      </c>
      <c r="J53" s="28" t="s">
        <v>130</v>
      </c>
      <c r="K53" s="28">
        <v>69</v>
      </c>
      <c r="L53" s="28" t="s">
        <v>120</v>
      </c>
      <c r="M53" s="28" t="s">
        <v>131</v>
      </c>
      <c r="N53" s="31">
        <v>-11.73</v>
      </c>
      <c r="O53" s="54">
        <v>5</v>
      </c>
      <c r="P53" s="55" t="s">
        <v>205</v>
      </c>
      <c r="Q53" s="56">
        <v>2800</v>
      </c>
      <c r="R53" s="56">
        <v>-100</v>
      </c>
      <c r="AA53" s="48" t="s">
        <v>189</v>
      </c>
      <c r="AB53" s="48"/>
      <c r="AC53" t="s">
        <v>195</v>
      </c>
      <c r="AD53" t="s">
        <v>196</v>
      </c>
      <c r="AE53" t="s">
        <v>197</v>
      </c>
      <c r="AF53" t="s">
        <v>198</v>
      </c>
    </row>
    <row r="54" spans="1:32" ht="18.75" x14ac:dyDescent="0.25">
      <c r="A54" s="28">
        <v>5</v>
      </c>
      <c r="B54" s="28">
        <v>6734</v>
      </c>
      <c r="C54" s="28">
        <v>319</v>
      </c>
      <c r="D54" s="28" t="s">
        <v>132</v>
      </c>
      <c r="E54" s="45">
        <v>2</v>
      </c>
      <c r="F54" s="37">
        <v>155.51</v>
      </c>
      <c r="G54" s="29">
        <v>0.14000000000000001</v>
      </c>
      <c r="H54" s="30">
        <v>45461.042696759258</v>
      </c>
      <c r="I54" s="28" t="s">
        <v>123</v>
      </c>
      <c r="J54" s="28" t="s">
        <v>133</v>
      </c>
      <c r="K54" s="28">
        <v>29</v>
      </c>
      <c r="L54" s="28" t="s">
        <v>125</v>
      </c>
      <c r="M54" s="28" t="s">
        <v>126</v>
      </c>
      <c r="N54" s="31">
        <v>-44.5</v>
      </c>
      <c r="O54" s="54">
        <v>5</v>
      </c>
      <c r="P54" s="55" t="s">
        <v>202</v>
      </c>
      <c r="Q54" s="56">
        <v>7500</v>
      </c>
      <c r="R54" s="56">
        <v>1800</v>
      </c>
      <c r="AA54" s="32" t="s">
        <v>184</v>
      </c>
      <c r="AB54" t="s">
        <v>185</v>
      </c>
      <c r="AC54" s="1" t="s">
        <v>191</v>
      </c>
      <c r="AD54" s="1" t="s">
        <v>194</v>
      </c>
      <c r="AE54" s="42" t="s">
        <v>16</v>
      </c>
      <c r="AF54" s="1" t="s">
        <v>193</v>
      </c>
    </row>
    <row r="55" spans="1:32" ht="18.75" x14ac:dyDescent="0.25">
      <c r="A55" s="28">
        <v>6</v>
      </c>
      <c r="B55" s="28">
        <v>7265</v>
      </c>
      <c r="C55" s="28">
        <v>282</v>
      </c>
      <c r="D55" s="28" t="s">
        <v>134</v>
      </c>
      <c r="E55" s="45">
        <v>3</v>
      </c>
      <c r="F55" s="37">
        <v>225.65</v>
      </c>
      <c r="G55" s="29">
        <v>0.18</v>
      </c>
      <c r="H55" s="30">
        <v>45357.260740740741</v>
      </c>
      <c r="I55" s="28" t="s">
        <v>129</v>
      </c>
      <c r="J55" s="28" t="s">
        <v>135</v>
      </c>
      <c r="K55" s="28">
        <v>60</v>
      </c>
      <c r="L55" s="28" t="s">
        <v>136</v>
      </c>
      <c r="M55" s="28" t="s">
        <v>126</v>
      </c>
      <c r="N55" s="31">
        <v>25.78</v>
      </c>
      <c r="O55" s="54">
        <v>5</v>
      </c>
      <c r="P55" s="55" t="s">
        <v>203</v>
      </c>
      <c r="Q55" s="56">
        <v>4100</v>
      </c>
      <c r="R55" s="56">
        <v>600</v>
      </c>
      <c r="AA55" s="33" t="s">
        <v>129</v>
      </c>
      <c r="AB55" s="14">
        <v>2969.58</v>
      </c>
      <c r="AC55" s="41">
        <v>30000</v>
      </c>
      <c r="AD55">
        <v>-12</v>
      </c>
      <c r="AE55" s="42">
        <v>1</v>
      </c>
      <c r="AF55" s="46">
        <v>12</v>
      </c>
    </row>
    <row r="56" spans="1:32" ht="18.75" x14ac:dyDescent="0.25">
      <c r="A56" s="28">
        <v>7</v>
      </c>
      <c r="B56" s="28">
        <v>1466</v>
      </c>
      <c r="C56" s="28">
        <v>276</v>
      </c>
      <c r="D56" s="28" t="s">
        <v>122</v>
      </c>
      <c r="E56" s="45">
        <v>3</v>
      </c>
      <c r="F56" s="37">
        <v>631.96</v>
      </c>
      <c r="G56" s="29">
        <v>0.09</v>
      </c>
      <c r="H56" s="30">
        <v>45214.562858796293</v>
      </c>
      <c r="I56" s="28" t="s">
        <v>137</v>
      </c>
      <c r="J56" s="28" t="s">
        <v>138</v>
      </c>
      <c r="K56" s="28">
        <v>69</v>
      </c>
      <c r="L56" s="28" t="s">
        <v>136</v>
      </c>
      <c r="M56" s="28" t="s">
        <v>131</v>
      </c>
      <c r="N56" s="31">
        <v>68.36</v>
      </c>
      <c r="O56" s="54">
        <v>5</v>
      </c>
      <c r="P56" s="55" t="s">
        <v>204</v>
      </c>
      <c r="Q56" s="56">
        <v>3200</v>
      </c>
      <c r="R56" s="56">
        <v>300</v>
      </c>
      <c r="AA56" s="33" t="s">
        <v>118</v>
      </c>
      <c r="AB56" s="14">
        <v>6456.49</v>
      </c>
      <c r="AC56" s="41">
        <v>78888</v>
      </c>
      <c r="AD56">
        <v>13</v>
      </c>
      <c r="AE56" s="42">
        <v>1</v>
      </c>
      <c r="AF56">
        <v>23</v>
      </c>
    </row>
    <row r="57" spans="1:32" ht="18.75" x14ac:dyDescent="0.25">
      <c r="A57" s="28">
        <v>8</v>
      </c>
      <c r="B57" s="28">
        <v>5426</v>
      </c>
      <c r="C57" s="28">
        <v>574</v>
      </c>
      <c r="D57" s="28" t="s">
        <v>139</v>
      </c>
      <c r="E57" s="45">
        <v>1</v>
      </c>
      <c r="F57" s="37">
        <v>522.87</v>
      </c>
      <c r="G57" s="29">
        <v>0.28999999999999998</v>
      </c>
      <c r="H57" s="30">
        <v>45428.073611111111</v>
      </c>
      <c r="I57" s="28" t="s">
        <v>118</v>
      </c>
      <c r="J57" s="28" t="s">
        <v>140</v>
      </c>
      <c r="K57" s="28">
        <v>45</v>
      </c>
      <c r="L57" s="28" t="s">
        <v>120</v>
      </c>
      <c r="M57" s="28" t="s">
        <v>126</v>
      </c>
      <c r="N57" s="31">
        <v>19.23</v>
      </c>
      <c r="O57" s="54">
        <v>4</v>
      </c>
      <c r="P57" s="55" t="s">
        <v>205</v>
      </c>
      <c r="Q57" s="56">
        <v>5600</v>
      </c>
      <c r="R57" s="56">
        <v>950</v>
      </c>
      <c r="AA57" s="33" t="s">
        <v>137</v>
      </c>
      <c r="AB57" s="14">
        <v>4975.42</v>
      </c>
      <c r="AC57" s="41">
        <v>39999</v>
      </c>
      <c r="AD57">
        <v>-99</v>
      </c>
      <c r="AE57" s="42">
        <v>2</v>
      </c>
      <c r="AF57" s="46">
        <v>1</v>
      </c>
    </row>
    <row r="58" spans="1:32" ht="18.75" x14ac:dyDescent="0.25">
      <c r="A58" s="28">
        <v>9</v>
      </c>
      <c r="B58" s="28">
        <v>6578</v>
      </c>
      <c r="C58" s="28">
        <v>948</v>
      </c>
      <c r="D58" s="28" t="s">
        <v>134</v>
      </c>
      <c r="E58" s="45">
        <v>4</v>
      </c>
      <c r="F58" s="37">
        <v>202.66</v>
      </c>
      <c r="G58" s="29">
        <v>0.12</v>
      </c>
      <c r="H58" s="30">
        <v>45508.717812499999</v>
      </c>
      <c r="I58" s="28" t="s">
        <v>118</v>
      </c>
      <c r="J58" s="28" t="s">
        <v>141</v>
      </c>
      <c r="K58" s="28">
        <v>37</v>
      </c>
      <c r="L58" s="28" t="s">
        <v>136</v>
      </c>
      <c r="M58" s="28" t="s">
        <v>131</v>
      </c>
      <c r="N58" s="31">
        <v>28.61</v>
      </c>
      <c r="O58" s="54">
        <v>5</v>
      </c>
      <c r="P58" s="55" t="s">
        <v>202</v>
      </c>
      <c r="Q58" s="56">
        <v>4900</v>
      </c>
      <c r="R58" s="56">
        <v>700</v>
      </c>
      <c r="AA58" s="33" t="s">
        <v>123</v>
      </c>
      <c r="AB58" s="14">
        <v>3848.8399999999997</v>
      </c>
      <c r="AC58" s="41">
        <v>12999</v>
      </c>
      <c r="AD58">
        <v>-13</v>
      </c>
      <c r="AE58" s="42">
        <v>2</v>
      </c>
      <c r="AF58" s="46">
        <v>245</v>
      </c>
    </row>
    <row r="59" spans="1:32" ht="18.75" x14ac:dyDescent="0.25">
      <c r="A59" s="28">
        <v>10</v>
      </c>
      <c r="B59" s="28">
        <v>9322</v>
      </c>
      <c r="C59" s="28">
        <v>459</v>
      </c>
      <c r="D59" s="28" t="s">
        <v>127</v>
      </c>
      <c r="E59" s="45">
        <v>3</v>
      </c>
      <c r="F59" s="37">
        <v>401.52</v>
      </c>
      <c r="G59" s="29">
        <v>0.23</v>
      </c>
      <c r="H59" s="30">
        <v>45278.777002314811</v>
      </c>
      <c r="I59" s="28" t="s">
        <v>118</v>
      </c>
      <c r="J59" s="28" t="s">
        <v>142</v>
      </c>
      <c r="K59" s="28">
        <v>67</v>
      </c>
      <c r="L59" s="28" t="s">
        <v>120</v>
      </c>
      <c r="M59" s="28" t="s">
        <v>131</v>
      </c>
      <c r="N59" s="31">
        <v>35.18</v>
      </c>
      <c r="O59" s="54">
        <v>5</v>
      </c>
      <c r="P59" s="55" t="s">
        <v>203</v>
      </c>
      <c r="Q59" s="56">
        <v>2200</v>
      </c>
      <c r="R59" s="56">
        <v>-50</v>
      </c>
      <c r="AA59" s="33" t="s">
        <v>151</v>
      </c>
      <c r="AB59" s="14">
        <v>2886.18</v>
      </c>
      <c r="AC59" s="41">
        <v>3456</v>
      </c>
      <c r="AD59">
        <v>12</v>
      </c>
      <c r="AE59" s="42">
        <v>2</v>
      </c>
      <c r="AF59" s="46">
        <v>0</v>
      </c>
    </row>
    <row r="60" spans="1:32" ht="18.75" x14ac:dyDescent="0.25">
      <c r="A60" s="28">
        <v>11</v>
      </c>
      <c r="B60" s="28">
        <v>2685</v>
      </c>
      <c r="C60" s="28">
        <v>745</v>
      </c>
      <c r="D60" s="28" t="s">
        <v>117</v>
      </c>
      <c r="E60" s="45">
        <v>3</v>
      </c>
      <c r="F60" s="37">
        <v>346.31</v>
      </c>
      <c r="G60" s="29">
        <v>0.06</v>
      </c>
      <c r="H60" s="30">
        <v>45438.122754629629</v>
      </c>
      <c r="I60" s="28" t="s">
        <v>118</v>
      </c>
      <c r="J60" s="28" t="s">
        <v>143</v>
      </c>
      <c r="K60" s="28">
        <v>36</v>
      </c>
      <c r="L60" s="28" t="s">
        <v>125</v>
      </c>
      <c r="M60" s="28" t="s">
        <v>131</v>
      </c>
      <c r="N60" s="31">
        <v>76.819999999999993</v>
      </c>
      <c r="O60" s="54">
        <v>5</v>
      </c>
      <c r="P60" s="55" t="s">
        <v>204</v>
      </c>
      <c r="Q60" s="56">
        <v>6800</v>
      </c>
      <c r="R60" s="56">
        <v>1400</v>
      </c>
      <c r="AA60" s="33" t="s">
        <v>186</v>
      </c>
      <c r="AB60" s="14">
        <v>21136.51</v>
      </c>
      <c r="AC60" s="41">
        <v>7890</v>
      </c>
      <c r="AD60">
        <v>0</v>
      </c>
      <c r="AE60" s="42">
        <v>3</v>
      </c>
      <c r="AF60" s="46">
        <v>0</v>
      </c>
    </row>
    <row r="61" spans="1:32" ht="18.75" x14ac:dyDescent="0.25">
      <c r="A61" s="28">
        <v>12</v>
      </c>
      <c r="B61" s="28">
        <v>1769</v>
      </c>
      <c r="C61" s="28">
        <v>564</v>
      </c>
      <c r="D61" s="28" t="s">
        <v>139</v>
      </c>
      <c r="E61" s="45">
        <v>1</v>
      </c>
      <c r="F61" s="37">
        <v>434.15</v>
      </c>
      <c r="G61" s="29">
        <v>0.05</v>
      </c>
      <c r="H61" s="30">
        <v>45195.221180555556</v>
      </c>
      <c r="I61" s="28" t="s">
        <v>129</v>
      </c>
      <c r="J61" s="28" t="s">
        <v>144</v>
      </c>
      <c r="K61" s="28">
        <v>61</v>
      </c>
      <c r="L61" s="28" t="s">
        <v>125</v>
      </c>
      <c r="M61" s="28" t="s">
        <v>126</v>
      </c>
      <c r="N61" s="31">
        <v>26.24</v>
      </c>
      <c r="O61" s="54">
        <v>5</v>
      </c>
      <c r="P61" s="55" t="s">
        <v>205</v>
      </c>
      <c r="Q61" s="56">
        <v>3700</v>
      </c>
      <c r="R61" s="56">
        <v>500</v>
      </c>
      <c r="AC61" s="41">
        <v>1234</v>
      </c>
      <c r="AD61">
        <v>9</v>
      </c>
      <c r="AE61" s="42">
        <v>3</v>
      </c>
      <c r="AF61" s="46">
        <v>9</v>
      </c>
    </row>
    <row r="62" spans="1:32" ht="18.75" x14ac:dyDescent="0.25">
      <c r="A62" s="28">
        <v>13</v>
      </c>
      <c r="B62" s="28">
        <v>7949</v>
      </c>
      <c r="C62" s="28">
        <v>334</v>
      </c>
      <c r="D62" s="28" t="s">
        <v>132</v>
      </c>
      <c r="E62" s="45">
        <v>3</v>
      </c>
      <c r="F62" s="37">
        <v>189.87</v>
      </c>
      <c r="G62" s="29">
        <v>0.25</v>
      </c>
      <c r="H62" s="30">
        <v>45273.995740740742</v>
      </c>
      <c r="I62" s="28" t="s">
        <v>137</v>
      </c>
      <c r="J62" s="28" t="s">
        <v>145</v>
      </c>
      <c r="K62" s="28">
        <v>65</v>
      </c>
      <c r="L62" s="28" t="s">
        <v>125</v>
      </c>
      <c r="M62" s="28" t="s">
        <v>131</v>
      </c>
      <c r="N62" s="31">
        <v>39.909999999999997</v>
      </c>
      <c r="O62" s="54">
        <v>5</v>
      </c>
      <c r="P62" s="55" t="s">
        <v>202</v>
      </c>
      <c r="Q62" s="56">
        <v>8100</v>
      </c>
      <c r="R62" s="56">
        <v>2200</v>
      </c>
      <c r="AA62" s="32" t="s">
        <v>184</v>
      </c>
      <c r="AB62" t="s">
        <v>187</v>
      </c>
      <c r="AD62">
        <v>8</v>
      </c>
      <c r="AE62" s="42">
        <v>1</v>
      </c>
      <c r="AF62" s="46">
        <v>8</v>
      </c>
    </row>
    <row r="63" spans="1:32" ht="18.75" x14ac:dyDescent="0.25">
      <c r="A63" s="28">
        <v>14</v>
      </c>
      <c r="B63" s="28">
        <v>3433</v>
      </c>
      <c r="C63" s="28">
        <v>536</v>
      </c>
      <c r="D63" s="28" t="s">
        <v>146</v>
      </c>
      <c r="E63" s="45">
        <v>1</v>
      </c>
      <c r="F63" s="37">
        <v>559.1</v>
      </c>
      <c r="G63" s="29">
        <v>0.15</v>
      </c>
      <c r="H63" s="30">
        <v>45262.322534722225</v>
      </c>
      <c r="I63" s="28" t="s">
        <v>123</v>
      </c>
      <c r="J63" s="28" t="s">
        <v>147</v>
      </c>
      <c r="K63" s="28">
        <v>35</v>
      </c>
      <c r="L63" s="28" t="s">
        <v>136</v>
      </c>
      <c r="M63" s="28" t="s">
        <v>131</v>
      </c>
      <c r="N63" s="31">
        <v>69.39</v>
      </c>
      <c r="O63" s="54">
        <v>5</v>
      </c>
      <c r="P63" s="55" t="s">
        <v>203</v>
      </c>
      <c r="Q63" s="56">
        <v>4600</v>
      </c>
      <c r="R63" s="56">
        <v>650</v>
      </c>
      <c r="AA63" s="33" t="s">
        <v>120</v>
      </c>
      <c r="AB63">
        <v>13</v>
      </c>
      <c r="AD63">
        <v>12</v>
      </c>
      <c r="AE63" s="42">
        <v>4</v>
      </c>
      <c r="AF63" s="46">
        <v>0</v>
      </c>
    </row>
    <row r="64" spans="1:32" ht="18.75" x14ac:dyDescent="0.25">
      <c r="A64" s="28">
        <v>15</v>
      </c>
      <c r="B64" s="28">
        <v>6311</v>
      </c>
      <c r="C64" s="28">
        <v>239</v>
      </c>
      <c r="D64" s="28" t="s">
        <v>127</v>
      </c>
      <c r="E64" s="45">
        <v>3</v>
      </c>
      <c r="F64" s="37">
        <v>29.01</v>
      </c>
      <c r="G64" s="29">
        <v>0.26</v>
      </c>
      <c r="H64" s="30">
        <v>45352.742511574077</v>
      </c>
      <c r="I64" s="28" t="s">
        <v>118</v>
      </c>
      <c r="J64" s="28" t="s">
        <v>148</v>
      </c>
      <c r="K64" s="28">
        <v>20</v>
      </c>
      <c r="L64" s="28" t="s">
        <v>125</v>
      </c>
      <c r="M64" s="28" t="s">
        <v>126</v>
      </c>
      <c r="N64" s="31">
        <v>10.33</v>
      </c>
      <c r="O64" s="54">
        <v>5</v>
      </c>
      <c r="P64" s="55" t="s">
        <v>204</v>
      </c>
      <c r="Q64" s="56">
        <v>2900</v>
      </c>
      <c r="R64" s="56">
        <v>250</v>
      </c>
      <c r="AA64" s="33" t="s">
        <v>136</v>
      </c>
      <c r="AB64">
        <v>14</v>
      </c>
      <c r="AD64">
        <v>44</v>
      </c>
      <c r="AE64" s="42">
        <v>3</v>
      </c>
      <c r="AF64" s="46">
        <v>9</v>
      </c>
    </row>
    <row r="65" spans="1:32" ht="18.75" x14ac:dyDescent="0.25">
      <c r="A65" s="28">
        <v>16</v>
      </c>
      <c r="B65" s="28">
        <v>6051</v>
      </c>
      <c r="C65" s="28">
        <v>587</v>
      </c>
      <c r="D65" s="28" t="s">
        <v>127</v>
      </c>
      <c r="E65" s="45">
        <v>2</v>
      </c>
      <c r="F65" s="37">
        <v>541.5</v>
      </c>
      <c r="G65" s="29">
        <v>0.22</v>
      </c>
      <c r="H65" s="30">
        <v>45516.509085648147</v>
      </c>
      <c r="I65" s="28" t="s">
        <v>129</v>
      </c>
      <c r="J65" s="28" t="s">
        <v>149</v>
      </c>
      <c r="K65" s="28">
        <v>46</v>
      </c>
      <c r="L65" s="28" t="s">
        <v>125</v>
      </c>
      <c r="M65" s="28" t="s">
        <v>131</v>
      </c>
      <c r="N65" s="31">
        <v>41.77</v>
      </c>
      <c r="O65" s="54">
        <v>5</v>
      </c>
      <c r="P65" s="55" t="s">
        <v>205</v>
      </c>
      <c r="Q65" s="56">
        <v>6200</v>
      </c>
      <c r="R65" s="56">
        <v>1100</v>
      </c>
      <c r="AA65" s="33" t="s">
        <v>125</v>
      </c>
      <c r="AB65">
        <v>22</v>
      </c>
      <c r="AD65">
        <v>44</v>
      </c>
      <c r="AE65" s="42">
        <v>3</v>
      </c>
      <c r="AF65" s="46">
        <v>8</v>
      </c>
    </row>
    <row r="66" spans="1:32" ht="18.75" x14ac:dyDescent="0.25">
      <c r="A66" s="28">
        <v>17</v>
      </c>
      <c r="B66" s="28">
        <v>7420</v>
      </c>
      <c r="C66" s="28">
        <v>868</v>
      </c>
      <c r="D66" s="28" t="s">
        <v>122</v>
      </c>
      <c r="E66" s="45">
        <v>4</v>
      </c>
      <c r="F66" s="37">
        <v>218.68</v>
      </c>
      <c r="G66" s="29">
        <v>0.19</v>
      </c>
      <c r="H66" s="30">
        <v>45497.367361111108</v>
      </c>
      <c r="I66" s="28" t="s">
        <v>137</v>
      </c>
      <c r="J66" s="28" t="s">
        <v>150</v>
      </c>
      <c r="K66" s="28">
        <v>21</v>
      </c>
      <c r="L66" s="28" t="s">
        <v>125</v>
      </c>
      <c r="M66" s="28" t="s">
        <v>121</v>
      </c>
      <c r="N66" s="31">
        <v>9.93</v>
      </c>
      <c r="O66" s="54">
        <v>5</v>
      </c>
      <c r="P66" s="55" t="s">
        <v>202</v>
      </c>
      <c r="Q66" s="56">
        <v>5300</v>
      </c>
      <c r="R66" s="56">
        <v>850</v>
      </c>
      <c r="AA66" s="33" t="s">
        <v>186</v>
      </c>
      <c r="AB66">
        <v>49</v>
      </c>
      <c r="AD66">
        <v>3</v>
      </c>
      <c r="AE66" s="42">
        <v>1</v>
      </c>
      <c r="AF66" s="46">
        <v>0</v>
      </c>
    </row>
    <row r="67" spans="1:32" ht="18.75" x14ac:dyDescent="0.25">
      <c r="A67" s="28">
        <v>18</v>
      </c>
      <c r="B67" s="28">
        <v>2184</v>
      </c>
      <c r="C67" s="28">
        <v>384</v>
      </c>
      <c r="D67" s="28" t="s">
        <v>117</v>
      </c>
      <c r="E67" s="45">
        <v>2</v>
      </c>
      <c r="F67" s="37">
        <v>439.07</v>
      </c>
      <c r="G67" s="29">
        <v>0.26</v>
      </c>
      <c r="H67" s="30">
        <v>45457.752418981479</v>
      </c>
      <c r="I67" s="28" t="s">
        <v>151</v>
      </c>
      <c r="J67" s="28" t="s">
        <v>152</v>
      </c>
      <c r="K67" s="28">
        <v>23</v>
      </c>
      <c r="L67" s="28" t="s">
        <v>125</v>
      </c>
      <c r="M67" s="28" t="s">
        <v>121</v>
      </c>
      <c r="N67" s="31">
        <v>97.73</v>
      </c>
      <c r="O67" s="54">
        <v>5</v>
      </c>
      <c r="P67" s="55" t="s">
        <v>203</v>
      </c>
      <c r="Q67" s="56">
        <v>3100</v>
      </c>
      <c r="R67" s="56">
        <v>400</v>
      </c>
      <c r="AD67">
        <v>5</v>
      </c>
      <c r="AE67" s="42">
        <v>3</v>
      </c>
      <c r="AF67" s="46">
        <v>8</v>
      </c>
    </row>
    <row r="68" spans="1:32" ht="18.75" x14ac:dyDescent="0.25">
      <c r="A68" s="28">
        <v>19</v>
      </c>
      <c r="B68" s="28">
        <v>5555</v>
      </c>
      <c r="C68" s="28">
        <v>701</v>
      </c>
      <c r="D68" s="28" t="s">
        <v>134</v>
      </c>
      <c r="E68" s="45">
        <v>4</v>
      </c>
      <c r="F68" s="37">
        <v>849.82</v>
      </c>
      <c r="G68" s="29">
        <v>0.12</v>
      </c>
      <c r="H68" s="30">
        <v>45353.221319444441</v>
      </c>
      <c r="I68" s="28" t="s">
        <v>118</v>
      </c>
      <c r="J68" s="28" t="s">
        <v>153</v>
      </c>
      <c r="K68" s="28">
        <v>52</v>
      </c>
      <c r="L68" s="28" t="s">
        <v>120</v>
      </c>
      <c r="M68" s="28" t="s">
        <v>131</v>
      </c>
      <c r="N68" s="31">
        <v>54.32</v>
      </c>
      <c r="O68" s="54">
        <v>5</v>
      </c>
      <c r="P68" s="55" t="s">
        <v>204</v>
      </c>
      <c r="Q68" s="56">
        <v>7200</v>
      </c>
      <c r="R68" s="56">
        <v>1600</v>
      </c>
      <c r="AD68">
        <v>-9</v>
      </c>
      <c r="AE68" s="42">
        <v>1</v>
      </c>
      <c r="AF68" s="46">
        <v>0</v>
      </c>
    </row>
    <row r="69" spans="1:32" ht="18.75" x14ac:dyDescent="0.25">
      <c r="A69" s="28">
        <v>20</v>
      </c>
      <c r="B69" s="28">
        <v>4385</v>
      </c>
      <c r="C69" s="28">
        <v>427</v>
      </c>
      <c r="D69" s="28" t="s">
        <v>132</v>
      </c>
      <c r="E69" s="45">
        <v>1</v>
      </c>
      <c r="F69" s="37">
        <v>886.69</v>
      </c>
      <c r="G69" s="29">
        <v>0.28000000000000003</v>
      </c>
      <c r="H69" s="30">
        <v>45431.55746527778</v>
      </c>
      <c r="I69" s="28" t="s">
        <v>123</v>
      </c>
      <c r="J69" s="28" t="s">
        <v>154</v>
      </c>
      <c r="K69" s="28">
        <v>46</v>
      </c>
      <c r="L69" s="28" t="s">
        <v>125</v>
      </c>
      <c r="M69" s="28" t="s">
        <v>131</v>
      </c>
      <c r="N69" s="31">
        <v>57.35</v>
      </c>
      <c r="O69" s="54">
        <v>5</v>
      </c>
      <c r="P69" s="55" t="s">
        <v>205</v>
      </c>
      <c r="Q69" s="56">
        <v>4300</v>
      </c>
      <c r="R69" s="56">
        <v>550</v>
      </c>
      <c r="T69" s="46"/>
      <c r="AD69">
        <v>9</v>
      </c>
      <c r="AE69" s="42">
        <v>3</v>
      </c>
      <c r="AF69" s="46">
        <v>9</v>
      </c>
    </row>
    <row r="70" spans="1:32" ht="18.75" x14ac:dyDescent="0.25">
      <c r="A70" s="28">
        <v>21</v>
      </c>
      <c r="B70" s="28">
        <v>7396</v>
      </c>
      <c r="C70" s="28">
        <v>150</v>
      </c>
      <c r="D70" s="28" t="s">
        <v>127</v>
      </c>
      <c r="E70" s="45">
        <v>2</v>
      </c>
      <c r="F70" s="37">
        <v>137.79</v>
      </c>
      <c r="G70" s="29">
        <v>0.04</v>
      </c>
      <c r="H70" s="30">
        <v>45425.419548611113</v>
      </c>
      <c r="I70" s="28" t="s">
        <v>137</v>
      </c>
      <c r="J70" s="28" t="s">
        <v>155</v>
      </c>
      <c r="K70" s="28">
        <v>60</v>
      </c>
      <c r="L70" s="28" t="s">
        <v>136</v>
      </c>
      <c r="M70" s="28" t="s">
        <v>121</v>
      </c>
      <c r="N70" s="31">
        <v>41.08</v>
      </c>
      <c r="O70" s="54">
        <v>5</v>
      </c>
      <c r="P70" s="55" t="s">
        <v>202</v>
      </c>
      <c r="Q70" s="56">
        <v>6700</v>
      </c>
      <c r="R70" s="56">
        <v>1300</v>
      </c>
      <c r="T70" s="46"/>
      <c r="AD70">
        <v>-7</v>
      </c>
      <c r="AE70" s="42">
        <v>2</v>
      </c>
    </row>
    <row r="71" spans="1:32" ht="18.75" x14ac:dyDescent="0.25">
      <c r="A71" s="28">
        <v>22</v>
      </c>
      <c r="B71" s="28">
        <v>9666</v>
      </c>
      <c r="C71" s="28">
        <v>797</v>
      </c>
      <c r="D71" s="28" t="s">
        <v>132</v>
      </c>
      <c r="E71" s="45">
        <v>4</v>
      </c>
      <c r="F71" s="37">
        <v>6.58</v>
      </c>
      <c r="G71" s="29">
        <v>0.04</v>
      </c>
      <c r="H71" s="30">
        <v>45387.868472222224</v>
      </c>
      <c r="I71" s="28" t="s">
        <v>151</v>
      </c>
      <c r="J71" s="28" t="s">
        <v>156</v>
      </c>
      <c r="K71" s="28">
        <v>54</v>
      </c>
      <c r="L71" s="28" t="s">
        <v>120</v>
      </c>
      <c r="M71" s="28" t="s">
        <v>121</v>
      </c>
      <c r="N71" s="31">
        <v>88.02</v>
      </c>
      <c r="O71" s="54">
        <v>5</v>
      </c>
      <c r="P71" s="55" t="s">
        <v>203</v>
      </c>
      <c r="Q71" s="56">
        <v>2500</v>
      </c>
      <c r="R71" s="56">
        <v>150</v>
      </c>
      <c r="T71" s="46"/>
    </row>
    <row r="72" spans="1:32" ht="18.75" x14ac:dyDescent="0.25">
      <c r="A72" s="28">
        <v>23</v>
      </c>
      <c r="B72" s="28">
        <v>3558</v>
      </c>
      <c r="C72" s="28">
        <v>577</v>
      </c>
      <c r="D72" s="28" t="s">
        <v>127</v>
      </c>
      <c r="E72" s="45">
        <v>3</v>
      </c>
      <c r="F72" s="37">
        <v>888.2</v>
      </c>
      <c r="G72" s="29">
        <v>0.04</v>
      </c>
      <c r="H72" s="30">
        <v>45247.229328703703</v>
      </c>
      <c r="I72" s="28" t="s">
        <v>118</v>
      </c>
      <c r="J72" s="28" t="s">
        <v>157</v>
      </c>
      <c r="K72" s="28">
        <v>29</v>
      </c>
      <c r="L72" s="28" t="s">
        <v>125</v>
      </c>
      <c r="M72" s="28" t="s">
        <v>121</v>
      </c>
      <c r="N72" s="31">
        <v>67.510000000000005</v>
      </c>
      <c r="O72" s="54">
        <v>5</v>
      </c>
      <c r="P72" s="55" t="s">
        <v>204</v>
      </c>
      <c r="Q72" s="56">
        <v>5800</v>
      </c>
      <c r="R72" s="56">
        <v>900</v>
      </c>
      <c r="T72" s="46"/>
    </row>
    <row r="73" spans="1:32" ht="18.75" x14ac:dyDescent="0.25">
      <c r="A73" s="28">
        <v>24</v>
      </c>
      <c r="B73" s="28">
        <v>8849</v>
      </c>
      <c r="C73" s="28">
        <v>385</v>
      </c>
      <c r="D73" s="28" t="s">
        <v>127</v>
      </c>
      <c r="E73" s="45">
        <v>4</v>
      </c>
      <c r="F73" s="37">
        <v>109.35</v>
      </c>
      <c r="G73" s="29">
        <v>0.15</v>
      </c>
      <c r="H73" s="30">
        <v>45509.588854166665</v>
      </c>
      <c r="I73" s="28" t="s">
        <v>123</v>
      </c>
      <c r="J73" s="28" t="s">
        <v>158</v>
      </c>
      <c r="K73" s="28">
        <v>45</v>
      </c>
      <c r="L73" s="28" t="s">
        <v>120</v>
      </c>
      <c r="M73" s="28" t="s">
        <v>126</v>
      </c>
      <c r="N73" s="31">
        <v>18.760000000000002</v>
      </c>
      <c r="O73" s="54">
        <v>5</v>
      </c>
      <c r="P73" s="55" t="s">
        <v>205</v>
      </c>
      <c r="Q73" s="56">
        <v>3900</v>
      </c>
      <c r="R73" s="56">
        <v>0</v>
      </c>
      <c r="T73" s="46"/>
    </row>
    <row r="74" spans="1:32" ht="18.75" x14ac:dyDescent="0.25">
      <c r="A74" s="28">
        <v>25</v>
      </c>
      <c r="B74" s="28">
        <v>3047</v>
      </c>
      <c r="C74" s="28">
        <v>419</v>
      </c>
      <c r="D74" s="28" t="s">
        <v>132</v>
      </c>
      <c r="E74" s="45">
        <v>4</v>
      </c>
      <c r="F74" s="37">
        <v>144.08000000000001</v>
      </c>
      <c r="G74" s="29">
        <v>0.28000000000000003</v>
      </c>
      <c r="H74" s="30">
        <v>45346.05196759259</v>
      </c>
      <c r="I74" s="28" t="s">
        <v>118</v>
      </c>
      <c r="J74" s="28" t="s">
        <v>159</v>
      </c>
      <c r="K74" s="28">
        <v>38</v>
      </c>
      <c r="L74" s="28" t="s">
        <v>136</v>
      </c>
      <c r="M74" s="28" t="s">
        <v>126</v>
      </c>
      <c r="N74" s="31">
        <v>33.4</v>
      </c>
      <c r="O74" s="54">
        <v>5</v>
      </c>
      <c r="P74" s="55" t="s">
        <v>202</v>
      </c>
      <c r="Q74" s="56">
        <v>8400</v>
      </c>
      <c r="R74" s="56">
        <v>2500</v>
      </c>
    </row>
    <row r="75" spans="1:32" ht="18.75" x14ac:dyDescent="0.25">
      <c r="A75" s="28">
        <v>26</v>
      </c>
      <c r="B75" s="28">
        <v>3747</v>
      </c>
      <c r="C75" s="28">
        <v>733</v>
      </c>
      <c r="D75" s="28" t="s">
        <v>139</v>
      </c>
      <c r="E75" s="45">
        <v>4</v>
      </c>
      <c r="F75" s="37">
        <v>576.59</v>
      </c>
      <c r="G75" s="29">
        <v>0.2</v>
      </c>
      <c r="H75" s="30">
        <v>45355.388136574074</v>
      </c>
      <c r="I75" s="28" t="s">
        <v>129</v>
      </c>
      <c r="J75" s="28" t="s">
        <v>160</v>
      </c>
      <c r="K75" s="28">
        <v>52</v>
      </c>
      <c r="L75" s="28" t="s">
        <v>136</v>
      </c>
      <c r="M75" s="28" t="s">
        <v>131</v>
      </c>
      <c r="N75" s="31">
        <v>21.91</v>
      </c>
      <c r="O75" s="54">
        <v>5</v>
      </c>
      <c r="P75" s="55" t="s">
        <v>203</v>
      </c>
      <c r="Q75" s="56">
        <v>4700</v>
      </c>
      <c r="R75" s="56">
        <v>700</v>
      </c>
      <c r="W75" s="46"/>
    </row>
    <row r="76" spans="1:32" ht="18.75" x14ac:dyDescent="0.25">
      <c r="A76" s="28">
        <v>27</v>
      </c>
      <c r="B76" s="28">
        <v>1189</v>
      </c>
      <c r="C76" s="28">
        <v>278</v>
      </c>
      <c r="D76" s="28" t="s">
        <v>132</v>
      </c>
      <c r="E76" s="45">
        <v>3</v>
      </c>
      <c r="F76" s="37">
        <v>954.41</v>
      </c>
      <c r="G76" s="29">
        <v>0.11</v>
      </c>
      <c r="H76" s="30">
        <v>45225.300104166665</v>
      </c>
      <c r="I76" s="28" t="s">
        <v>151</v>
      </c>
      <c r="J76" s="28" t="s">
        <v>161</v>
      </c>
      <c r="K76" s="28">
        <v>66</v>
      </c>
      <c r="L76" s="28" t="s">
        <v>136</v>
      </c>
      <c r="M76" s="28" t="s">
        <v>131</v>
      </c>
      <c r="N76" s="31">
        <v>81.489999999999995</v>
      </c>
      <c r="O76" s="54">
        <v>5</v>
      </c>
      <c r="P76" s="55" t="s">
        <v>204</v>
      </c>
      <c r="Q76" s="56">
        <v>3400</v>
      </c>
      <c r="R76" s="56">
        <v>350</v>
      </c>
      <c r="W76" s="46"/>
    </row>
    <row r="77" spans="1:32" ht="18.75" x14ac:dyDescent="0.25">
      <c r="A77" s="28">
        <v>28</v>
      </c>
      <c r="B77" s="28">
        <v>3734</v>
      </c>
      <c r="C77" s="28">
        <v>231</v>
      </c>
      <c r="D77" s="28" t="s">
        <v>146</v>
      </c>
      <c r="E77" s="45">
        <v>3</v>
      </c>
      <c r="F77" s="37">
        <v>513.82000000000005</v>
      </c>
      <c r="G77" s="29">
        <v>0.05</v>
      </c>
      <c r="H77" s="30">
        <v>45508.527766203704</v>
      </c>
      <c r="I77" s="28" t="s">
        <v>137</v>
      </c>
      <c r="J77" s="28" t="s">
        <v>162</v>
      </c>
      <c r="K77" s="28">
        <v>34</v>
      </c>
      <c r="L77" s="28" t="s">
        <v>136</v>
      </c>
      <c r="M77" s="28" t="s">
        <v>131</v>
      </c>
      <c r="N77" s="31">
        <v>77.27</v>
      </c>
      <c r="O77" s="54">
        <v>5</v>
      </c>
      <c r="P77" s="55" t="s">
        <v>205</v>
      </c>
      <c r="Q77" s="56">
        <v>6500</v>
      </c>
      <c r="R77" s="56">
        <v>1250</v>
      </c>
      <c r="W77" s="46"/>
    </row>
    <row r="78" spans="1:32" ht="18.75" x14ac:dyDescent="0.25">
      <c r="A78" s="28">
        <v>29</v>
      </c>
      <c r="B78" s="28">
        <v>4005</v>
      </c>
      <c r="C78" s="28">
        <v>699</v>
      </c>
      <c r="D78" s="28" t="s">
        <v>139</v>
      </c>
      <c r="E78" s="45">
        <v>1</v>
      </c>
      <c r="F78" s="37">
        <v>767.89</v>
      </c>
      <c r="G78" s="29">
        <v>0.11</v>
      </c>
      <c r="H78" s="30">
        <v>45418.068981481483</v>
      </c>
      <c r="I78" s="28" t="s">
        <v>137</v>
      </c>
      <c r="J78" s="28" t="s">
        <v>163</v>
      </c>
      <c r="K78" s="28">
        <v>52</v>
      </c>
      <c r="L78" s="28" t="s">
        <v>125</v>
      </c>
      <c r="M78" s="28" t="s">
        <v>126</v>
      </c>
      <c r="N78" s="31">
        <v>26.78</v>
      </c>
      <c r="O78" s="54">
        <v>5</v>
      </c>
      <c r="P78" s="55" t="s">
        <v>202</v>
      </c>
      <c r="Q78" s="56">
        <v>5600</v>
      </c>
      <c r="R78" s="56">
        <v>950</v>
      </c>
      <c r="W78" s="46"/>
    </row>
    <row r="79" spans="1:32" ht="18.75" x14ac:dyDescent="0.25">
      <c r="A79" s="28">
        <v>30</v>
      </c>
      <c r="B79" s="28">
        <v>5658</v>
      </c>
      <c r="C79" s="28">
        <v>829</v>
      </c>
      <c r="D79" s="28" t="s">
        <v>122</v>
      </c>
      <c r="E79" s="45">
        <v>4</v>
      </c>
      <c r="F79" s="37">
        <v>653.79</v>
      </c>
      <c r="G79" s="29">
        <v>0.01</v>
      </c>
      <c r="H79" s="30">
        <v>45222.482094907406</v>
      </c>
      <c r="I79" s="28" t="s">
        <v>118</v>
      </c>
      <c r="J79" s="28" t="s">
        <v>164</v>
      </c>
      <c r="K79" s="28">
        <v>68</v>
      </c>
      <c r="L79" s="28" t="s">
        <v>120</v>
      </c>
      <c r="M79" s="28" t="s">
        <v>131</v>
      </c>
      <c r="N79" s="31">
        <v>39.340000000000003</v>
      </c>
      <c r="O79" s="54">
        <v>5</v>
      </c>
      <c r="P79" s="55" t="s">
        <v>203</v>
      </c>
      <c r="Q79" s="56">
        <v>2800</v>
      </c>
      <c r="R79" s="56">
        <v>200</v>
      </c>
      <c r="W79" s="46"/>
    </row>
    <row r="80" spans="1:32" ht="18.75" x14ac:dyDescent="0.25">
      <c r="A80" s="28">
        <v>31</v>
      </c>
      <c r="B80" s="28">
        <v>2899</v>
      </c>
      <c r="C80" s="28">
        <v>299</v>
      </c>
      <c r="D80" s="28" t="s">
        <v>146</v>
      </c>
      <c r="E80" s="45">
        <v>1</v>
      </c>
      <c r="F80" s="37">
        <v>361.67</v>
      </c>
      <c r="G80" s="29">
        <v>0.06</v>
      </c>
      <c r="H80" s="30">
        <v>45301.112858796296</v>
      </c>
      <c r="I80" s="28" t="s">
        <v>137</v>
      </c>
      <c r="J80" s="28" t="s">
        <v>165</v>
      </c>
      <c r="K80" s="28">
        <v>23</v>
      </c>
      <c r="L80" s="28" t="s">
        <v>125</v>
      </c>
      <c r="M80" s="28" t="s">
        <v>131</v>
      </c>
      <c r="N80" s="31">
        <v>91.11</v>
      </c>
      <c r="O80" s="54">
        <v>5</v>
      </c>
      <c r="P80" s="55" t="s">
        <v>204</v>
      </c>
      <c r="Q80" s="56">
        <v>7700</v>
      </c>
      <c r="R80" s="56">
        <v>1800</v>
      </c>
      <c r="W80" s="46"/>
    </row>
    <row r="81" spans="1:23" ht="18.75" x14ac:dyDescent="0.25">
      <c r="A81" s="28">
        <v>32</v>
      </c>
      <c r="B81" s="28">
        <v>8734</v>
      </c>
      <c r="C81" s="28">
        <v>706</v>
      </c>
      <c r="D81" s="28" t="s">
        <v>132</v>
      </c>
      <c r="E81" s="45">
        <v>1</v>
      </c>
      <c r="F81" s="37">
        <v>327.64</v>
      </c>
      <c r="G81" s="29">
        <v>0.28000000000000003</v>
      </c>
      <c r="H81" s="30">
        <v>45422.781377314815</v>
      </c>
      <c r="I81" s="28" t="s">
        <v>137</v>
      </c>
      <c r="J81" s="28" t="s">
        <v>166</v>
      </c>
      <c r="K81" s="28">
        <v>44</v>
      </c>
      <c r="L81" s="28" t="s">
        <v>120</v>
      </c>
      <c r="M81" s="28" t="s">
        <v>121</v>
      </c>
      <c r="N81" s="31">
        <v>2.78</v>
      </c>
      <c r="O81" s="54">
        <v>5</v>
      </c>
      <c r="P81" s="55" t="s">
        <v>205</v>
      </c>
      <c r="Q81" s="56">
        <v>4500</v>
      </c>
      <c r="R81" s="56">
        <v>600</v>
      </c>
      <c r="W81" s="46"/>
    </row>
    <row r="82" spans="1:23" ht="18.75" x14ac:dyDescent="0.25">
      <c r="A82" s="28">
        <v>33</v>
      </c>
      <c r="B82" s="28">
        <v>2267</v>
      </c>
      <c r="C82" s="28">
        <v>693</v>
      </c>
      <c r="D82" s="28" t="s">
        <v>122</v>
      </c>
      <c r="E82" s="45">
        <v>1</v>
      </c>
      <c r="F82" s="37">
        <v>623.45000000000005</v>
      </c>
      <c r="G82" s="29">
        <v>0.13</v>
      </c>
      <c r="H82" s="30">
        <v>45469.132071759261</v>
      </c>
      <c r="I82" s="28" t="s">
        <v>151</v>
      </c>
      <c r="J82" s="28" t="s">
        <v>167</v>
      </c>
      <c r="K82" s="28">
        <v>67</v>
      </c>
      <c r="L82" s="28" t="s">
        <v>125</v>
      </c>
      <c r="M82" s="28" t="s">
        <v>126</v>
      </c>
      <c r="N82" s="31">
        <v>65.39</v>
      </c>
      <c r="O82" s="54">
        <v>5</v>
      </c>
      <c r="P82" s="55" t="s">
        <v>202</v>
      </c>
      <c r="Q82" s="56">
        <v>6100</v>
      </c>
      <c r="R82" s="56">
        <v>1100</v>
      </c>
      <c r="W82" s="46"/>
    </row>
    <row r="83" spans="1:23" ht="18.75" x14ac:dyDescent="0.25">
      <c r="A83" s="28">
        <v>34</v>
      </c>
      <c r="B83" s="28">
        <v>2528</v>
      </c>
      <c r="C83" s="28">
        <v>544</v>
      </c>
      <c r="D83" s="28" t="s">
        <v>132</v>
      </c>
      <c r="E83" s="45">
        <v>3</v>
      </c>
      <c r="F83" s="37">
        <v>316.88</v>
      </c>
      <c r="G83" s="29">
        <v>0.16</v>
      </c>
      <c r="H83" s="30">
        <v>45185.723854166667</v>
      </c>
      <c r="I83" s="28" t="s">
        <v>129</v>
      </c>
      <c r="J83" s="28" t="s">
        <v>168</v>
      </c>
      <c r="K83" s="28">
        <v>40</v>
      </c>
      <c r="L83" s="28" t="s">
        <v>136</v>
      </c>
      <c r="M83" s="28" t="s">
        <v>126</v>
      </c>
      <c r="N83" s="31">
        <v>22.59</v>
      </c>
      <c r="O83" s="54">
        <v>5</v>
      </c>
      <c r="P83" s="55" t="s">
        <v>203</v>
      </c>
      <c r="Q83" s="56">
        <v>3600</v>
      </c>
      <c r="R83" s="56">
        <v>500</v>
      </c>
      <c r="W83" s="46"/>
    </row>
    <row r="84" spans="1:23" ht="18.75" x14ac:dyDescent="0.25">
      <c r="A84" s="28">
        <v>35</v>
      </c>
      <c r="B84" s="28">
        <v>4556</v>
      </c>
      <c r="C84" s="28">
        <v>773</v>
      </c>
      <c r="D84" s="28" t="s">
        <v>134</v>
      </c>
      <c r="E84" s="45">
        <v>1</v>
      </c>
      <c r="F84" s="37">
        <v>560.67999999999995</v>
      </c>
      <c r="G84" s="29">
        <v>0.22</v>
      </c>
      <c r="H84" s="30">
        <v>45248.753078703703</v>
      </c>
      <c r="I84" s="28" t="s">
        <v>129</v>
      </c>
      <c r="J84" s="28" t="s">
        <v>169</v>
      </c>
      <c r="K84" s="28">
        <v>32</v>
      </c>
      <c r="L84" s="28" t="s">
        <v>120</v>
      </c>
      <c r="M84" s="28" t="s">
        <v>126</v>
      </c>
      <c r="N84" s="31">
        <v>50.36</v>
      </c>
      <c r="O84" s="54">
        <v>5</v>
      </c>
      <c r="P84" s="55" t="s">
        <v>204</v>
      </c>
      <c r="Q84" s="56">
        <v>4900</v>
      </c>
      <c r="R84" s="56">
        <v>750</v>
      </c>
    </row>
    <row r="85" spans="1:23" ht="18.75" x14ac:dyDescent="0.25">
      <c r="A85" s="28">
        <v>36</v>
      </c>
      <c r="B85" s="28">
        <v>4890</v>
      </c>
      <c r="C85" s="28">
        <v>414</v>
      </c>
      <c r="D85" s="28" t="s">
        <v>139</v>
      </c>
      <c r="E85" s="45">
        <v>3</v>
      </c>
      <c r="F85" s="37">
        <v>423.86</v>
      </c>
      <c r="G85" s="29">
        <v>0.26</v>
      </c>
      <c r="H85" s="30">
        <v>45305.053182870368</v>
      </c>
      <c r="I85" s="28" t="s">
        <v>118</v>
      </c>
      <c r="J85" s="28" t="s">
        <v>170</v>
      </c>
      <c r="K85" s="28">
        <v>67</v>
      </c>
      <c r="L85" s="28" t="s">
        <v>136</v>
      </c>
      <c r="M85" s="28" t="s">
        <v>131</v>
      </c>
      <c r="N85" s="31">
        <v>16.57</v>
      </c>
      <c r="O85" s="54">
        <v>5</v>
      </c>
      <c r="P85" s="55" t="s">
        <v>205</v>
      </c>
      <c r="Q85" s="56">
        <v>7000</v>
      </c>
      <c r="R85" s="56">
        <v>1500</v>
      </c>
    </row>
    <row r="86" spans="1:23" ht="18.75" x14ac:dyDescent="0.25">
      <c r="A86" s="28">
        <v>37</v>
      </c>
      <c r="B86" s="28">
        <v>9838</v>
      </c>
      <c r="C86" s="28">
        <v>900</v>
      </c>
      <c r="D86" s="28" t="s">
        <v>122</v>
      </c>
      <c r="E86" s="45">
        <v>1</v>
      </c>
      <c r="F86" s="37">
        <v>629.44000000000005</v>
      </c>
      <c r="G86" s="29">
        <v>0.23</v>
      </c>
      <c r="H86" s="30">
        <v>45242.062800925924</v>
      </c>
      <c r="I86" s="28" t="s">
        <v>123</v>
      </c>
      <c r="J86" s="28" t="s">
        <v>171</v>
      </c>
      <c r="K86" s="28">
        <v>42</v>
      </c>
      <c r="L86" s="28" t="s">
        <v>125</v>
      </c>
      <c r="M86" s="28" t="s">
        <v>126</v>
      </c>
      <c r="N86" s="31">
        <v>97.39</v>
      </c>
      <c r="O86" s="54">
        <v>5</v>
      </c>
      <c r="P86" s="55" t="s">
        <v>202</v>
      </c>
      <c r="Q86" s="56">
        <v>3200</v>
      </c>
      <c r="R86" s="56">
        <v>300</v>
      </c>
    </row>
    <row r="87" spans="1:23" ht="18.75" x14ac:dyDescent="0.25">
      <c r="A87" s="28">
        <v>38</v>
      </c>
      <c r="B87" s="28">
        <v>6393</v>
      </c>
      <c r="C87" s="28">
        <v>907</v>
      </c>
      <c r="D87" s="28" t="s">
        <v>134</v>
      </c>
      <c r="E87" s="45">
        <v>1</v>
      </c>
      <c r="F87" s="37">
        <v>330.09</v>
      </c>
      <c r="G87" s="29">
        <v>0.21</v>
      </c>
      <c r="H87" s="30">
        <v>45521.575497685182</v>
      </c>
      <c r="I87" s="28" t="s">
        <v>137</v>
      </c>
      <c r="J87" s="28" t="s">
        <v>172</v>
      </c>
      <c r="K87" s="28">
        <v>37</v>
      </c>
      <c r="L87" s="28" t="s">
        <v>125</v>
      </c>
      <c r="M87" s="28" t="s">
        <v>126</v>
      </c>
      <c r="N87" s="31">
        <v>1.59</v>
      </c>
      <c r="O87" s="54">
        <v>5</v>
      </c>
      <c r="P87" s="55" t="s">
        <v>203</v>
      </c>
      <c r="Q87" s="56">
        <v>5400</v>
      </c>
      <c r="R87" s="56">
        <v>850</v>
      </c>
    </row>
    <row r="88" spans="1:23" ht="18.75" x14ac:dyDescent="0.25">
      <c r="A88" s="28">
        <v>39</v>
      </c>
      <c r="B88" s="28">
        <v>9792</v>
      </c>
      <c r="C88" s="28">
        <v>172</v>
      </c>
      <c r="D88" s="28" t="s">
        <v>132</v>
      </c>
      <c r="E88" s="45">
        <v>4</v>
      </c>
      <c r="F88" s="37">
        <v>862.67</v>
      </c>
      <c r="G88" s="29">
        <v>0.01</v>
      </c>
      <c r="H88" s="30">
        <v>45279.066400462965</v>
      </c>
      <c r="I88" s="28" t="s">
        <v>151</v>
      </c>
      <c r="J88" s="28" t="s">
        <v>173</v>
      </c>
      <c r="K88" s="28">
        <v>55</v>
      </c>
      <c r="L88" s="28" t="s">
        <v>120</v>
      </c>
      <c r="M88" s="28" t="s">
        <v>126</v>
      </c>
      <c r="N88" s="31">
        <v>34.06</v>
      </c>
      <c r="O88" s="54">
        <v>5</v>
      </c>
      <c r="P88" s="55" t="s">
        <v>204</v>
      </c>
      <c r="Q88" s="56">
        <v>2600</v>
      </c>
      <c r="R88" s="56">
        <v>120</v>
      </c>
    </row>
    <row r="89" spans="1:23" ht="18.75" x14ac:dyDescent="0.25">
      <c r="A89" s="28">
        <v>40</v>
      </c>
      <c r="B89" s="28">
        <v>9433</v>
      </c>
      <c r="C89" s="28">
        <v>951</v>
      </c>
      <c r="D89" s="28" t="s">
        <v>134</v>
      </c>
      <c r="E89" s="45">
        <v>1</v>
      </c>
      <c r="F89" s="37">
        <v>511.03</v>
      </c>
      <c r="G89" s="29">
        <v>0.01</v>
      </c>
      <c r="H89" s="30">
        <v>45250.853206018517</v>
      </c>
      <c r="I89" s="28" t="s">
        <v>137</v>
      </c>
      <c r="J89" s="28" t="s">
        <v>174</v>
      </c>
      <c r="K89" s="28">
        <v>40</v>
      </c>
      <c r="L89" s="28" t="s">
        <v>136</v>
      </c>
      <c r="M89" s="28" t="s">
        <v>131</v>
      </c>
      <c r="N89" s="31">
        <v>85.58</v>
      </c>
      <c r="O89" s="54">
        <v>5</v>
      </c>
      <c r="P89" s="55" t="s">
        <v>205</v>
      </c>
      <c r="Q89" s="56">
        <v>5900</v>
      </c>
      <c r="R89" s="56">
        <v>1000</v>
      </c>
    </row>
    <row r="90" spans="1:23" ht="18.75" x14ac:dyDescent="0.25">
      <c r="A90" s="28">
        <v>41</v>
      </c>
      <c r="B90" s="28">
        <v>8513</v>
      </c>
      <c r="C90" s="28">
        <v>907</v>
      </c>
      <c r="D90" s="28" t="s">
        <v>127</v>
      </c>
      <c r="E90" s="45">
        <v>2</v>
      </c>
      <c r="F90" s="37">
        <v>42.59</v>
      </c>
      <c r="G90" s="29">
        <v>0.06</v>
      </c>
      <c r="H90" s="30">
        <v>45530.315023148149</v>
      </c>
      <c r="I90" s="28" t="s">
        <v>118</v>
      </c>
      <c r="J90" s="28" t="s">
        <v>175</v>
      </c>
      <c r="K90" s="28">
        <v>68</v>
      </c>
      <c r="L90" s="28" t="s">
        <v>136</v>
      </c>
      <c r="M90" s="28" t="s">
        <v>131</v>
      </c>
      <c r="N90" s="31">
        <v>51.92</v>
      </c>
      <c r="O90" s="54">
        <v>5</v>
      </c>
      <c r="P90" s="55" t="s">
        <v>202</v>
      </c>
      <c r="Q90" s="56">
        <v>7300</v>
      </c>
      <c r="R90" s="56">
        <v>1700</v>
      </c>
    </row>
    <row r="91" spans="1:23" ht="18.75" x14ac:dyDescent="0.25">
      <c r="A91" s="28">
        <v>42</v>
      </c>
      <c r="B91" s="28">
        <v>3612</v>
      </c>
      <c r="C91" s="28">
        <v>785</v>
      </c>
      <c r="D91" s="28" t="s">
        <v>146</v>
      </c>
      <c r="E91" s="45">
        <v>3</v>
      </c>
      <c r="F91" s="37">
        <v>143.9</v>
      </c>
      <c r="G91" s="29">
        <v>0.09</v>
      </c>
      <c r="H91" s="30">
        <v>45436.330659722225</v>
      </c>
      <c r="I91" s="28" t="s">
        <v>123</v>
      </c>
      <c r="J91" s="28" t="s">
        <v>176</v>
      </c>
      <c r="K91" s="28">
        <v>41</v>
      </c>
      <c r="L91" s="28" t="s">
        <v>125</v>
      </c>
      <c r="M91" s="28" t="s">
        <v>121</v>
      </c>
      <c r="N91" s="31">
        <v>57.88</v>
      </c>
      <c r="O91" s="54">
        <v>5</v>
      </c>
      <c r="P91" s="55" t="s">
        <v>203</v>
      </c>
      <c r="Q91" s="56">
        <v>4200</v>
      </c>
      <c r="R91" s="56">
        <v>650</v>
      </c>
    </row>
    <row r="92" spans="1:23" ht="18.75" x14ac:dyDescent="0.25">
      <c r="A92" s="28">
        <v>43</v>
      </c>
      <c r="B92" s="28">
        <v>8041</v>
      </c>
      <c r="C92" s="28">
        <v>101</v>
      </c>
      <c r="D92" s="28" t="s">
        <v>117</v>
      </c>
      <c r="E92" s="45">
        <v>3</v>
      </c>
      <c r="F92" s="37">
        <v>202.28</v>
      </c>
      <c r="G92" s="29">
        <v>0.11</v>
      </c>
      <c r="H92" s="30">
        <v>45211.312847222223</v>
      </c>
      <c r="I92" s="28" t="s">
        <v>118</v>
      </c>
      <c r="J92" s="28" t="s">
        <v>177</v>
      </c>
      <c r="K92" s="28">
        <v>57</v>
      </c>
      <c r="L92" s="28" t="s">
        <v>136</v>
      </c>
      <c r="M92" s="28" t="s">
        <v>121</v>
      </c>
      <c r="N92" s="31">
        <v>39.869999999999997</v>
      </c>
      <c r="O92" s="54">
        <v>5</v>
      </c>
      <c r="P92" s="55" t="s">
        <v>204</v>
      </c>
      <c r="Q92" s="56">
        <v>6400</v>
      </c>
      <c r="R92" s="56">
        <v>1200</v>
      </c>
    </row>
    <row r="93" spans="1:23" ht="18.75" x14ac:dyDescent="0.25">
      <c r="A93" s="28">
        <v>44</v>
      </c>
      <c r="B93" s="28">
        <v>7235</v>
      </c>
      <c r="C93" s="28">
        <v>718</v>
      </c>
      <c r="D93" s="28" t="s">
        <v>122</v>
      </c>
      <c r="E93" s="45">
        <v>3</v>
      </c>
      <c r="F93" s="37">
        <v>108.93</v>
      </c>
      <c r="G93" s="29">
        <v>0.12</v>
      </c>
      <c r="H93" s="30">
        <v>45256.828541666669</v>
      </c>
      <c r="I93" s="28" t="s">
        <v>123</v>
      </c>
      <c r="J93" s="28" t="s">
        <v>178</v>
      </c>
      <c r="K93" s="28">
        <v>25</v>
      </c>
      <c r="L93" s="28" t="s">
        <v>125</v>
      </c>
      <c r="M93" s="28" t="s">
        <v>121</v>
      </c>
      <c r="N93" s="31">
        <v>13.93</v>
      </c>
      <c r="O93" s="54">
        <v>5</v>
      </c>
      <c r="P93" s="55" t="s">
        <v>205</v>
      </c>
      <c r="Q93" s="56">
        <v>3100</v>
      </c>
      <c r="R93" s="56">
        <v>250</v>
      </c>
    </row>
    <row r="94" spans="1:23" ht="18.75" x14ac:dyDescent="0.25">
      <c r="A94" s="28">
        <v>45</v>
      </c>
      <c r="B94" s="28">
        <v>6486</v>
      </c>
      <c r="C94" s="28">
        <v>778</v>
      </c>
      <c r="D94" s="28" t="s">
        <v>139</v>
      </c>
      <c r="E94" s="45">
        <v>4</v>
      </c>
      <c r="F94" s="37">
        <v>176.51</v>
      </c>
      <c r="G94" s="29">
        <v>0.01</v>
      </c>
      <c r="H94" s="30">
        <v>45499.98945601852</v>
      </c>
      <c r="I94" s="28" t="s">
        <v>123</v>
      </c>
      <c r="J94" s="28" t="s">
        <v>179</v>
      </c>
      <c r="K94" s="28">
        <v>53</v>
      </c>
      <c r="L94" s="28" t="s">
        <v>120</v>
      </c>
      <c r="M94" s="28" t="s">
        <v>121</v>
      </c>
      <c r="N94" s="31">
        <v>46.24</v>
      </c>
      <c r="O94" s="54">
        <v>5</v>
      </c>
      <c r="P94" s="55" t="s">
        <v>202</v>
      </c>
      <c r="Q94" s="56">
        <v>8800</v>
      </c>
      <c r="R94" s="56">
        <v>2800</v>
      </c>
    </row>
    <row r="95" spans="1:23" ht="18.75" x14ac:dyDescent="0.25">
      <c r="A95" s="28">
        <v>46</v>
      </c>
      <c r="B95" s="28">
        <v>8099</v>
      </c>
      <c r="C95" s="28">
        <v>120</v>
      </c>
      <c r="D95" s="28" t="s">
        <v>139</v>
      </c>
      <c r="E95" s="45">
        <v>2</v>
      </c>
      <c r="F95" s="37">
        <v>309.39</v>
      </c>
      <c r="G95" s="29">
        <v>0.05</v>
      </c>
      <c r="H95" s="30">
        <v>45439.078541666669</v>
      </c>
      <c r="I95" s="28" t="s">
        <v>123</v>
      </c>
      <c r="J95" s="28" t="s">
        <v>180</v>
      </c>
      <c r="K95" s="28">
        <v>43</v>
      </c>
      <c r="L95" s="28" t="s">
        <v>125</v>
      </c>
      <c r="M95" s="28" t="s">
        <v>131</v>
      </c>
      <c r="N95" s="31">
        <v>68.94</v>
      </c>
      <c r="O95" s="54">
        <v>5</v>
      </c>
      <c r="P95" s="55" t="s">
        <v>203</v>
      </c>
      <c r="Q95" s="56">
        <v>3800</v>
      </c>
      <c r="R95" s="56">
        <v>550</v>
      </c>
    </row>
    <row r="96" spans="1:23" ht="18.75" x14ac:dyDescent="0.25">
      <c r="A96" s="28">
        <v>47</v>
      </c>
      <c r="B96" s="28">
        <v>1775</v>
      </c>
      <c r="C96" s="28">
        <v>561</v>
      </c>
      <c r="D96" s="28" t="s">
        <v>139</v>
      </c>
      <c r="E96" s="45">
        <v>1</v>
      </c>
      <c r="F96" s="37">
        <v>947.84</v>
      </c>
      <c r="G96" s="29">
        <v>0.26</v>
      </c>
      <c r="H96" s="30">
        <v>45193.278090277781</v>
      </c>
      <c r="I96" s="28" t="s">
        <v>118</v>
      </c>
      <c r="J96" s="28" t="s">
        <v>181</v>
      </c>
      <c r="K96" s="28">
        <v>32</v>
      </c>
      <c r="L96" s="28" t="s">
        <v>125</v>
      </c>
      <c r="M96" s="28" t="s">
        <v>131</v>
      </c>
      <c r="N96" s="31">
        <v>37.53</v>
      </c>
      <c r="O96" s="54">
        <v>5</v>
      </c>
      <c r="P96" s="55" t="s">
        <v>204</v>
      </c>
      <c r="Q96" s="56">
        <v>5200</v>
      </c>
      <c r="R96" s="56">
        <v>800</v>
      </c>
    </row>
    <row r="97" spans="1:18" ht="18.75" x14ac:dyDescent="0.25">
      <c r="A97" s="28">
        <v>48</v>
      </c>
      <c r="B97" s="28">
        <v>9226</v>
      </c>
      <c r="C97" s="28">
        <v>449</v>
      </c>
      <c r="D97" s="28" t="s">
        <v>127</v>
      </c>
      <c r="E97" s="45">
        <v>2</v>
      </c>
      <c r="F97" s="37">
        <v>984.98</v>
      </c>
      <c r="G97" s="29">
        <v>0.23</v>
      </c>
      <c r="H97" s="30">
        <v>45180.543819444443</v>
      </c>
      <c r="I97" s="28" t="s">
        <v>137</v>
      </c>
      <c r="J97" s="28" t="s">
        <v>182</v>
      </c>
      <c r="K97" s="28">
        <v>58</v>
      </c>
      <c r="L97" s="28" t="s">
        <v>125</v>
      </c>
      <c r="M97" s="28" t="s">
        <v>126</v>
      </c>
      <c r="N97" s="31">
        <v>0</v>
      </c>
      <c r="O97" s="54">
        <v>5</v>
      </c>
      <c r="P97" s="55" t="s">
        <v>205</v>
      </c>
      <c r="Q97" s="56">
        <v>4700</v>
      </c>
      <c r="R97" s="56">
        <v>700</v>
      </c>
    </row>
    <row r="98" spans="1:18" ht="18.75" x14ac:dyDescent="0.25">
      <c r="A98" s="28">
        <v>49</v>
      </c>
      <c r="B98" s="28">
        <v>4152</v>
      </c>
      <c r="C98" s="28">
        <v>653</v>
      </c>
      <c r="D98" s="28" t="s">
        <v>139</v>
      </c>
      <c r="E98" s="45">
        <v>4</v>
      </c>
      <c r="F98" s="37">
        <v>157.11000000000001</v>
      </c>
      <c r="G98" s="29">
        <v>0.03</v>
      </c>
      <c r="H98" s="30">
        <v>45451.159120370372</v>
      </c>
      <c r="I98" s="28" t="s">
        <v>129</v>
      </c>
      <c r="J98" s="28" t="s">
        <v>183</v>
      </c>
      <c r="K98" s="28">
        <v>64</v>
      </c>
      <c r="L98" s="28" t="s">
        <v>125</v>
      </c>
      <c r="M98" s="28" t="s">
        <v>131</v>
      </c>
      <c r="N98" s="31">
        <v>98.52</v>
      </c>
      <c r="O98" s="54">
        <v>5</v>
      </c>
      <c r="P98" s="55" t="s">
        <v>202</v>
      </c>
      <c r="Q98" s="56">
        <v>6900</v>
      </c>
      <c r="R98" s="56">
        <v>1400</v>
      </c>
    </row>
    <row r="135" spans="17:17" x14ac:dyDescent="0.25">
      <c r="Q135" s="18" t="s">
        <v>188</v>
      </c>
    </row>
    <row r="136" spans="17:17" x14ac:dyDescent="0.25">
      <c r="Q136" s="18">
        <v>46174</v>
      </c>
    </row>
    <row r="137" spans="17:17" x14ac:dyDescent="0.25">
      <c r="Q137" s="18">
        <v>46175</v>
      </c>
    </row>
    <row r="138" spans="17:17" x14ac:dyDescent="0.25">
      <c r="Q138" s="18">
        <v>46176</v>
      </c>
    </row>
    <row r="139" spans="17:17" x14ac:dyDescent="0.25">
      <c r="Q139" s="18">
        <v>46177</v>
      </c>
    </row>
    <row r="140" spans="17:17" x14ac:dyDescent="0.25">
      <c r="Q140" s="18">
        <v>46178</v>
      </c>
    </row>
    <row r="141" spans="17:17" x14ac:dyDescent="0.25">
      <c r="Q141" s="18">
        <v>46179</v>
      </c>
    </row>
    <row r="142" spans="17:17" x14ac:dyDescent="0.25">
      <c r="Q142" s="18">
        <v>46180</v>
      </c>
    </row>
    <row r="143" spans="17:17" x14ac:dyDescent="0.25">
      <c r="Q143" s="18">
        <v>46181</v>
      </c>
    </row>
    <row r="144" spans="17:17" x14ac:dyDescent="0.25">
      <c r="Q144" s="18">
        <v>46182</v>
      </c>
    </row>
    <row r="145" spans="17:17" x14ac:dyDescent="0.25">
      <c r="Q145" s="18">
        <v>46183</v>
      </c>
    </row>
    <row r="146" spans="17:17" x14ac:dyDescent="0.25">
      <c r="Q146" s="18">
        <v>46184</v>
      </c>
    </row>
    <row r="147" spans="17:17" x14ac:dyDescent="0.25">
      <c r="Q147" s="18">
        <v>46185</v>
      </c>
    </row>
    <row r="148" spans="17:17" x14ac:dyDescent="0.25">
      <c r="Q148" s="18">
        <v>46186</v>
      </c>
    </row>
    <row r="149" spans="17:17" x14ac:dyDescent="0.25">
      <c r="Q149" s="18">
        <v>46187</v>
      </c>
    </row>
    <row r="150" spans="17:17" x14ac:dyDescent="0.25">
      <c r="Q150" s="18">
        <v>46188</v>
      </c>
    </row>
    <row r="151" spans="17:17" x14ac:dyDescent="0.25">
      <c r="Q151" s="18">
        <v>46189</v>
      </c>
    </row>
    <row r="152" spans="17:17" x14ac:dyDescent="0.25">
      <c r="Q152" s="18">
        <v>46190</v>
      </c>
    </row>
    <row r="153" spans="17:17" x14ac:dyDescent="0.25">
      <c r="Q153" s="18">
        <v>46191</v>
      </c>
    </row>
    <row r="154" spans="17:17" x14ac:dyDescent="0.25">
      <c r="Q154" s="18">
        <v>46192</v>
      </c>
    </row>
    <row r="155" spans="17:17" x14ac:dyDescent="0.25">
      <c r="Q155" s="18">
        <v>46193</v>
      </c>
    </row>
  </sheetData>
  <mergeCells count="1">
    <mergeCell ref="AA53:AB53"/>
  </mergeCells>
  <phoneticPr fontId="2" type="noConversion"/>
  <conditionalFormatting sqref="F1:F1048576">
    <cfRule type="dataBar" priority="18">
      <dataBar>
        <cfvo type="min"/>
        <cfvo type="max"/>
        <color rgb="FF638EC6"/>
      </dataBar>
      <extLst>
        <ext xmlns:x14="http://schemas.microsoft.com/office/spreadsheetml/2009/9/main" uri="{B025F937-C7B1-47D3-B67F-A62EFF666E3E}">
          <x14:id>{FC6E6A42-A4BB-40AA-BA80-76B79D73F9D1}</x14:id>
        </ext>
      </extLst>
    </cfRule>
  </conditionalFormatting>
  <conditionalFormatting sqref="G50">
    <cfRule type="colorScale" priority="14">
      <colorScale>
        <cfvo type="min"/>
        <cfvo type="percentile" val="50"/>
        <cfvo type="max"/>
        <color rgb="FFF8696B"/>
        <color rgb="FFFFEB84"/>
        <color rgb="FF63BE7B"/>
      </colorScale>
    </cfRule>
  </conditionalFormatting>
  <conditionalFormatting sqref="G50:G98">
    <cfRule type="colorScale" priority="15">
      <colorScale>
        <cfvo type="min"/>
        <cfvo type="percentile" val="50"/>
        <cfvo type="max"/>
        <color rgb="FFF8696B"/>
        <color rgb="FFFCFCFF"/>
        <color rgb="FF63BE7B"/>
      </colorScale>
    </cfRule>
  </conditionalFormatting>
  <conditionalFormatting sqref="H1:H127 H149:H1048576 Q135:Q155">
    <cfRule type="timePeriod" dxfId="10" priority="16" timePeriod="yesterday">
      <formula>FLOOR(H1,1)=TODAY()-1</formula>
    </cfRule>
    <cfRule type="duplicateValues" dxfId="9" priority="21"/>
    <cfRule type="timePeriod" dxfId="8" priority="22" timePeriod="lastWeek">
      <formula>AND(TODAY()-ROUNDDOWN(H1,0)&gt;=(WEEKDAY(TODAY())),TODAY()-ROUNDDOWN(H1,0)&lt;(WEEKDAY(TODAY())+7))</formula>
    </cfRule>
  </conditionalFormatting>
  <conditionalFormatting sqref="I1:I1048576">
    <cfRule type="containsText" dxfId="7" priority="17" operator="containsText" text="cash on delivery">
      <formula>NOT(ISERROR(SEARCH("cash on delivery",I1)))</formula>
    </cfRule>
  </conditionalFormatting>
  <conditionalFormatting sqref="AB54:AB59">
    <cfRule type="colorScale" priority="13">
      <colorScale>
        <cfvo type="min"/>
        <cfvo type="percentile" val="50"/>
        <cfvo type="max"/>
        <color rgb="FFF8696B"/>
        <color rgb="FFFFEB84"/>
        <color rgb="FF63BE7B"/>
      </colorScale>
    </cfRule>
  </conditionalFormatting>
  <conditionalFormatting sqref="Q49">
    <cfRule type="top10" dxfId="6" priority="7" bottom="1" rank="10"/>
    <cfRule type="top10" dxfId="5" priority="8" percent="1" rank="10"/>
    <cfRule type="top10" dxfId="4" priority="9" percent="1" rank="5"/>
    <cfRule type="top10" priority="10" rank="5"/>
  </conditionalFormatting>
  <conditionalFormatting sqref="Q50:Q98">
    <cfRule type="cellIs" dxfId="3" priority="6" operator="greaterThan">
      <formula>6000</formula>
    </cfRule>
  </conditionalFormatting>
  <conditionalFormatting sqref="Q49:Q98">
    <cfRule type="cellIs" dxfId="2" priority="5" operator="lessThan">
      <formula>3000</formula>
    </cfRule>
  </conditionalFormatting>
  <conditionalFormatting sqref="P49:P98">
    <cfRule type="cellIs" dxfId="1" priority="4" operator="equal">
      <formula>"south"</formula>
    </cfRule>
  </conditionalFormatting>
  <conditionalFormatting sqref="D49:D98">
    <cfRule type="containsText" dxfId="0" priority="2" operator="containsText" text="clothing">
      <formula>NOT(ISERROR(SEARCH("clothing",D49)))</formula>
    </cfRule>
  </conditionalFormatting>
  <conditionalFormatting sqref="R49:R98">
    <cfRule type="dataBar" priority="1">
      <dataBar>
        <cfvo type="min"/>
        <cfvo type="max"/>
        <color rgb="FF008AEF"/>
      </dataBar>
      <extLst>
        <ext xmlns:x14="http://schemas.microsoft.com/office/spreadsheetml/2009/9/main" uri="{B025F937-C7B1-47D3-B67F-A62EFF666E3E}">
          <x14:id>{ECDA1C78-8D11-4D63-B944-7DA81A678156}</x14:id>
        </ext>
      </extLst>
    </cfRule>
  </conditionalFormatting>
  <pageMargins left="0.7" right="0.7" top="0.75" bottom="0.75" header="0.3" footer="0.3"/>
  <drawing r:id="rId3"/>
  <tableParts count="5">
    <tablePart r:id="rId4"/>
    <tablePart r:id="rId5"/>
    <tablePart r:id="rId6"/>
    <tablePart r:id="rId7"/>
    <tablePart r:id="rId8"/>
  </tableParts>
  <extLst>
    <ext xmlns:x14="http://schemas.microsoft.com/office/spreadsheetml/2009/9/main" uri="{78C0D931-6437-407d-A8EE-F0AAD7539E65}">
      <x14:conditionalFormattings>
        <x14:conditionalFormatting xmlns:xm="http://schemas.microsoft.com/office/excel/2006/main">
          <x14:cfRule type="dataBar" id="{FC6E6A42-A4BB-40AA-BA80-76B79D73F9D1}">
            <x14:dataBar minLength="0" maxLength="100" border="1" negativeBarBorderColorSameAsPositive="0">
              <x14:cfvo type="autoMin"/>
              <x14:cfvo type="autoMax"/>
              <x14:borderColor rgb="FF638EC6"/>
              <x14:negativeFillColor rgb="FFFF0000"/>
              <x14:negativeBorderColor rgb="FFFF0000"/>
              <x14:axisColor rgb="FF000000"/>
            </x14:dataBar>
          </x14:cfRule>
          <xm:sqref>F1:F1048576</xm:sqref>
        </x14:conditionalFormatting>
        <x14:conditionalFormatting xmlns:xm="http://schemas.microsoft.com/office/excel/2006/main">
          <x14:cfRule type="iconSet" priority="11" id="{7716208C-1B37-4AA9-9E03-D2D58D0BE628}">
            <x14:iconSet iconSet="3Stars">
              <x14:cfvo type="percent">
                <xm:f>0</xm:f>
              </x14:cfvo>
              <x14:cfvo type="percent">
                <xm:f>33</xm:f>
              </x14:cfvo>
              <x14:cfvo type="percent">
                <xm:f>67</xm:f>
              </x14:cfvo>
            </x14:iconSet>
          </x14:cfRule>
          <xm:sqref>O50:O98</xm:sqref>
        </x14:conditionalFormatting>
        <x14:conditionalFormatting xmlns:xm="http://schemas.microsoft.com/office/excel/2006/main">
          <x14:cfRule type="dataBar" id="{ECDA1C78-8D11-4D63-B944-7DA81A678156}">
            <x14:dataBar minLength="0" maxLength="100" gradient="0">
              <x14:cfvo type="autoMin"/>
              <x14:cfvo type="autoMax"/>
              <x14:negativeFillColor rgb="FFFF0000"/>
              <x14:axisColor rgb="FF000000"/>
            </x14:dataBar>
          </x14:cfRule>
          <xm:sqref>R49:R98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Sheet3</vt:lpstr>
      <vt:lpstr>Sheet4</vt:lpstr>
      <vt:lpstr>Sheet5</vt:lpstr>
      <vt:lpstr>Sheet6</vt:lpstr>
      <vt:lpstr>Sheet7</vt:lpstr>
      <vt:lpstr>Sheet9</vt:lpstr>
      <vt:lpstr>Sheet11</vt:lpstr>
      <vt:lpstr>Sheet12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MITS</dc:creator>
  <cp:lastModifiedBy>MITS</cp:lastModifiedBy>
  <dcterms:created xsi:type="dcterms:W3CDTF">2026-06-01T12:14:05Z</dcterms:created>
  <dcterms:modified xsi:type="dcterms:W3CDTF">2026-06-04T11:25:55Z</dcterms:modified>
</cp:coreProperties>
</file>